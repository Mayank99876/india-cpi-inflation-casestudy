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ata Science By Coding Ninjas\Introduction to Excel and Analytics\"/>
    </mc:Choice>
  </mc:AlternateContent>
  <xr:revisionPtr revIDLastSave="0" documentId="13_ncr:1_{0327D676-3EA2-4E59-BF67-6DB0E1CDACAD}" xr6:coauthVersionLast="47" xr6:coauthVersionMax="47" xr10:uidLastSave="{00000000-0000-0000-0000-000000000000}"/>
  <bookViews>
    <workbookView xWindow="-108" yWindow="-108" windowWidth="23256" windowHeight="12456" activeTab="7" xr2:uid="{C2C7EF44-6820-41D3-9F87-A8B254097979}"/>
  </bookViews>
  <sheets>
    <sheet name="LatestMonthBYCategoriesAvg" sheetId="4" r:id="rId1"/>
    <sheet name="YearByInflationRate" sheetId="5" r:id="rId2"/>
    <sheet name="12monthsByFoodAverage" sheetId="6" r:id="rId3"/>
    <sheet name="BiggestContrFoodBy12months" sheetId="7" r:id="rId4"/>
    <sheet name="Covid-19_pandemic" sheetId="8" r:id="rId5"/>
    <sheet name="Fuel VS CorrelCoeff" sheetId="9" r:id="rId6"/>
    <sheet name="Conclusion" sheetId="11" r:id="rId7"/>
    <sheet name="Crude Oil Prices" sheetId="15" r:id="rId8"/>
    <sheet name="All_India_Index_Upto_April23" sheetId="2" r:id="rId9"/>
  </sheets>
  <definedNames>
    <definedName name="ExternalData_1" localSheetId="8" hidden="1">All_India_Index_Upto_April23!$A$1:$AF$367</definedName>
  </definedNames>
  <calcPr calcId="191029"/>
  <pivotCaches>
    <pivotCache cacheId="33"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2" i="9" l="1"/>
  <c r="C51" i="9"/>
  <c r="C50" i="9"/>
  <c r="C49" i="9"/>
  <c r="C48" i="9"/>
  <c r="C47" i="9"/>
  <c r="C46" i="9"/>
  <c r="C45" i="9"/>
  <c r="C44" i="9"/>
  <c r="C43" i="9"/>
  <c r="C42" i="9"/>
  <c r="C41" i="9"/>
  <c r="C6" i="6"/>
  <c r="C7" i="6"/>
  <c r="C8" i="6"/>
  <c r="C9" i="6"/>
  <c r="C10" i="6"/>
  <c r="C11" i="6"/>
  <c r="C12" i="6"/>
  <c r="C13" i="6"/>
  <c r="C14" i="6"/>
  <c r="C15" i="6"/>
  <c r="C16" i="6"/>
  <c r="C5" i="6"/>
  <c r="C5" i="5"/>
  <c r="AG2" i="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H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C6" i="5"/>
  <c r="C7" i="5"/>
  <c r="C8" i="5"/>
  <c r="C9" i="5"/>
  <c r="C10" i="5"/>
  <c r="C11" i="5"/>
  <c r="C8" i="4"/>
  <c r="C9" i="4"/>
  <c r="C10" i="4"/>
  <c r="O10" i="4" s="1"/>
  <c r="P10" i="4" s="1"/>
  <c r="C11" i="4"/>
  <c r="C12" i="4"/>
  <c r="C13" i="4"/>
  <c r="C14" i="4"/>
  <c r="C15" i="4"/>
  <c r="C16" i="4"/>
  <c r="C17" i="4"/>
  <c r="C18" i="4"/>
  <c r="C19" i="4"/>
  <c r="C7" i="4"/>
  <c r="P6" i="7"/>
  <c r="Q6" i="7" s="1"/>
  <c r="P7" i="7"/>
  <c r="Q7" i="7" s="1"/>
  <c r="P8" i="7"/>
  <c r="Q8" i="7" s="1"/>
  <c r="P9" i="7"/>
  <c r="Q9" i="7" s="1"/>
  <c r="P10" i="7"/>
  <c r="Q10" i="7" s="1"/>
  <c r="P11" i="7"/>
  <c r="Q11" i="7" s="1"/>
  <c r="P12" i="7"/>
  <c r="Q12" i="7" s="1"/>
  <c r="P13" i="7"/>
  <c r="Q13" i="7" s="1"/>
  <c r="P14" i="7"/>
  <c r="Q14" i="7" s="1"/>
  <c r="P15" i="7"/>
  <c r="Q15" i="7" s="1"/>
  <c r="P16" i="7"/>
  <c r="Q16" i="7" s="1"/>
  <c r="P5" i="7"/>
  <c r="P18" i="7" l="1"/>
  <c r="Q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C4F54C-8225-44CC-B2B4-B093508955D2}" keepAlive="1" name="Query - All_India_Index_Upto_April23" description="Connection to the 'All_India_Index_Upto_April23' query in the workbook." type="5" refreshedVersion="7" background="1" saveData="1">
    <dbPr connection="Provider=Microsoft.Mashup.OleDb.1;Data Source=$Workbook$;Location=All_India_Index_Upto_April23;Extended Properties=&quot;&quot;" command="SELECT * FROM [All_India_Index_Upto_April23]"/>
  </connection>
  <connection id="2" xr16:uid="{C4E5B7EE-D969-4909-87FD-855A45E1DE5E}" keepAlive="1" name="Query - Sheet1" description="Connection to the 'Sheet1' query in the workbook." type="5" refreshedVersion="0"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<sst xmlns="http://schemas.openxmlformats.org/spreadsheetml/2006/main" count="978" uniqueCount="187">
  <si>
    <t>Sector</t>
  </si>
  <si>
    <t>Year</t>
  </si>
  <si>
    <t>Month</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</si>
  <si>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</si>
  <si>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</si>
  <si>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</si>
  <si>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</si>
  <si>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</si>
  <si>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</si>
  <si>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</si>
  <si>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</si>
  <si>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</si>
  <si>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</si>
  <si>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</si>
  <si>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</si>
  <si>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</si>
  <si>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</si>
  <si>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Food</t>
  </si>
  <si>
    <t>Rural</t>
  </si>
  <si>
    <t>January</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</si>
  <si>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</si>
  <si>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</si>
  <si>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</si>
  <si>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</si>
  <si>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</si>
  <si>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</si>
  <si>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</si>
  <si>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</si>
  <si>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</si>
  <si>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</si>
  <si>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</si>
  <si>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</si>
  <si>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</si>
  <si>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Urban</t>
  </si>
  <si>
    <t>Rural+Urban</t>
  </si>
  <si>
    <t>February</t>
  </si>
  <si>
    <t>March</t>
  </si>
  <si>
    <t>April</t>
  </si>
  <si>
    <t>May</t>
  </si>
  <si>
    <t>June</t>
  </si>
  <si>
    <t>July</t>
  </si>
  <si>
    <t>August</t>
  </si>
  <si>
    <t>September</t>
  </si>
  <si>
    <t>October</t>
  </si>
  <si>
    <t xml:space="preserve">November </t>
  </si>
  <si>
    <t>November</t>
  </si>
  <si>
    <t>December</t>
  </si>
  <si>
    <t>Marcrh</t>
  </si>
  <si>
    <t>-</t>
  </si>
  <si>
    <t>Index</t>
  </si>
  <si>
    <t>Row Labels</t>
  </si>
  <si>
    <t>Grand Total</t>
  </si>
  <si>
    <t>Average of Food</t>
  </si>
  <si>
    <t>Average of Cereals and products</t>
  </si>
  <si>
    <t>Average of Meat and fish</t>
  </si>
  <si>
    <t>Average of Egg</t>
  </si>
  <si>
    <t>Average of Milk and products</t>
  </si>
  <si>
    <t>Average of Oils and fats</t>
  </si>
  <si>
    <t>Average of Fruits</t>
  </si>
  <si>
    <t>Average of Vegetables</t>
  </si>
  <si>
    <t>Average of Pulses and products</t>
  </si>
  <si>
    <t>Average of Sugar and Confectionery</t>
  </si>
  <si>
    <t>Average of Spices</t>
  </si>
  <si>
    <t>Average of Non-alcoholic beverages</t>
  </si>
  <si>
    <t>Average of Clothing</t>
  </si>
  <si>
    <t>Average of Footwear</t>
  </si>
  <si>
    <t>Average of Housing</t>
  </si>
  <si>
    <t>Average of Fuel and light</t>
  </si>
  <si>
    <t>Average of Household goods and services</t>
  </si>
  <si>
    <t>Average of Health</t>
  </si>
  <si>
    <t>Average of Transport and communication</t>
  </si>
  <si>
    <t>Average of Personal care and effects</t>
  </si>
  <si>
    <t>Average of Miscellaneous</t>
  </si>
  <si>
    <t>Average of General index</t>
  </si>
  <si>
    <t>Average of Recreation and amusement</t>
  </si>
  <si>
    <t>Average of Education</t>
  </si>
  <si>
    <t>Inflation Rate</t>
  </si>
  <si>
    <t>Average of Inflation Rate</t>
  </si>
  <si>
    <t>Average of Prepared meals, snacks, sweets etc.</t>
  </si>
  <si>
    <t>Average of Food and beverages</t>
  </si>
  <si>
    <t>Average of Pan, tobacco and intoxicants</t>
  </si>
  <si>
    <t>MonthDate</t>
  </si>
  <si>
    <t>Biggest Contributor</t>
  </si>
  <si>
    <t>Maximum</t>
  </si>
  <si>
    <t>Individual  food category for maximum</t>
  </si>
  <si>
    <t>Food Category</t>
  </si>
  <si>
    <t>Egg, Fruits and vegetables have higher inflation index as compare to other food category</t>
  </si>
  <si>
    <t>Categories</t>
  </si>
  <si>
    <t>Correl value</t>
  </si>
  <si>
    <t>Fuel VS Food</t>
  </si>
  <si>
    <t>Fuel VS Clothing</t>
  </si>
  <si>
    <t>Fuel VS Footwear</t>
  </si>
  <si>
    <t>Fuel VS Housing</t>
  </si>
  <si>
    <t>Fuel VS Health</t>
  </si>
  <si>
    <t>Fuel VS Transport &amp; Comm.</t>
  </si>
  <si>
    <t>Fuel VS Recreation and amusement</t>
  </si>
  <si>
    <t>Fuel VS Education</t>
  </si>
  <si>
    <t>Fuel VS Personal Care &amp; Effects</t>
  </si>
  <si>
    <t>Fuel VS Miscellaneous</t>
  </si>
  <si>
    <t>Fuel VS General Index</t>
  </si>
  <si>
    <t>Fuel VS household goods &amp; services</t>
  </si>
  <si>
    <t>Decision Area</t>
  </si>
  <si>
    <t>Insight</t>
  </si>
  <si>
    <t>Data Source</t>
  </si>
  <si>
    <t>LatestMonthBYCategoriesAvg</t>
  </si>
  <si>
    <t xml:space="preserve"> Stage 1</t>
  </si>
  <si>
    <t>Stage 2</t>
  </si>
  <si>
    <t>Recommendation/Reason</t>
  </si>
  <si>
    <t>YearByInflationRate</t>
  </si>
  <si>
    <t>Stage 3 Part 1</t>
  </si>
  <si>
    <t>12monthsByFoodAverage</t>
  </si>
  <si>
    <t>Eggs, Fruits and vegetables has highest inflation index average because they are more needed for daily life</t>
  </si>
  <si>
    <t>BiggestContrFodBy12months</t>
  </si>
  <si>
    <t>Stage 3 Part 2</t>
  </si>
  <si>
    <t>Stage 4</t>
  </si>
  <si>
    <t>Covid-19_pandemic</t>
  </si>
  <si>
    <t>Stage 5</t>
  </si>
  <si>
    <t>Fuel VS CorrelCoeff</t>
  </si>
  <si>
    <r>
      <rPr>
        <b/>
        <sz val="11"/>
        <color theme="1"/>
        <rFont val="Calibri"/>
        <family val="2"/>
        <scheme val="minor"/>
      </rPr>
      <t>Fruits</t>
    </r>
    <r>
      <rPr>
        <sz val="11"/>
        <color theme="1"/>
        <rFont val="Calibri"/>
        <family val="2"/>
        <scheme val="minor"/>
      </rPr>
      <t xml:space="preserve"> food category - highest inflation in food  broader category</t>
    </r>
  </si>
  <si>
    <t>Column Labels</t>
  </si>
  <si>
    <t>Values</t>
  </si>
  <si>
    <t>Contribution %</t>
  </si>
  <si>
    <t>% change</t>
  </si>
  <si>
    <r>
      <rPr>
        <b/>
        <sz val="11"/>
        <color theme="1"/>
        <rFont val="Calibri"/>
        <family val="2"/>
        <scheme val="minor"/>
      </rPr>
      <t>2020</t>
    </r>
    <r>
      <rPr>
        <sz val="11"/>
        <color theme="1"/>
        <rFont val="Calibri"/>
        <family val="2"/>
        <scheme val="minor"/>
      </rPr>
      <t xml:space="preserve"> has highest inflation % change. </t>
    </r>
    <r>
      <rPr>
        <b/>
        <sz val="11"/>
        <color theme="1"/>
        <rFont val="Calibri"/>
        <family val="2"/>
        <scheme val="minor"/>
      </rPr>
      <t xml:space="preserve">Inflation % change </t>
    </r>
    <r>
      <rPr>
        <sz val="11"/>
        <color theme="1"/>
        <rFont val="Calibri"/>
        <family val="2"/>
        <scheme val="minor"/>
      </rPr>
      <t>is</t>
    </r>
    <r>
      <rPr>
        <b/>
        <sz val="11"/>
        <color theme="1"/>
        <rFont val="Calibri"/>
        <family val="2"/>
        <scheme val="minor"/>
      </rPr>
      <t xml:space="preserve"> increased </t>
    </r>
    <r>
      <rPr>
        <sz val="11"/>
        <color theme="1"/>
        <rFont val="Calibri"/>
        <family val="2"/>
        <scheme val="minor"/>
      </rPr>
      <t>due to</t>
    </r>
    <r>
      <rPr>
        <b/>
        <sz val="11"/>
        <color theme="1"/>
        <rFont val="Calibri"/>
        <family val="2"/>
        <scheme val="minor"/>
      </rPr>
      <t xml:space="preserve"> covid-19 </t>
    </r>
    <r>
      <rPr>
        <sz val="11"/>
        <color theme="1"/>
        <rFont val="Calibri"/>
        <family val="2"/>
        <scheme val="minor"/>
      </rPr>
      <t>and</t>
    </r>
    <r>
      <rPr>
        <b/>
        <sz val="11"/>
        <color theme="1"/>
        <rFont val="Calibri"/>
        <family val="2"/>
        <scheme val="minor"/>
      </rPr>
      <t xml:space="preserve"> decreases slowly </t>
    </r>
    <r>
      <rPr>
        <sz val="11"/>
        <color theme="1"/>
        <rFont val="Calibri"/>
        <family val="2"/>
        <scheme val="minor"/>
      </rPr>
      <t>by reaching at</t>
    </r>
    <r>
      <rPr>
        <b/>
        <sz val="11"/>
        <color theme="1"/>
        <rFont val="Calibri"/>
        <family val="2"/>
        <scheme val="minor"/>
      </rPr>
      <t xml:space="preserve"> 2023.</t>
    </r>
  </si>
  <si>
    <r>
      <rPr>
        <b/>
        <sz val="11"/>
        <color theme="1"/>
        <rFont val="Calibri"/>
        <family val="2"/>
        <scheme val="minor"/>
      </rPr>
      <t>June 2022</t>
    </r>
    <r>
      <rPr>
        <sz val="11"/>
        <color theme="1"/>
        <rFont val="Calibri"/>
        <family val="2"/>
        <scheme val="minor"/>
      </rPr>
      <t xml:space="preserve"> has </t>
    </r>
    <r>
      <rPr>
        <b/>
        <sz val="11"/>
        <color theme="1"/>
        <rFont val="Calibri"/>
        <family val="2"/>
        <scheme val="minor"/>
      </rPr>
      <t>highest</t>
    </r>
    <r>
      <rPr>
        <sz val="11"/>
        <color theme="1"/>
        <rFont val="Calibri"/>
        <family val="2"/>
        <scheme val="minor"/>
      </rPr>
      <t xml:space="preserve"> inflation index average and </t>
    </r>
    <r>
      <rPr>
        <b/>
        <sz val="11"/>
        <color theme="1"/>
        <rFont val="Calibri"/>
        <family val="2"/>
        <scheme val="minor"/>
      </rPr>
      <t>December 2022</t>
    </r>
    <r>
      <rPr>
        <sz val="11"/>
        <color theme="1"/>
        <rFont val="Calibri"/>
        <family val="2"/>
        <scheme val="minor"/>
      </rPr>
      <t xml:space="preserve"> has </t>
    </r>
    <r>
      <rPr>
        <b/>
        <sz val="11"/>
        <color theme="1"/>
        <rFont val="Calibri"/>
        <family val="2"/>
        <scheme val="minor"/>
      </rPr>
      <t>lowest</t>
    </r>
    <r>
      <rPr>
        <sz val="11"/>
        <color theme="1"/>
        <rFont val="Calibri"/>
        <family val="2"/>
        <scheme val="minor"/>
      </rPr>
      <t xml:space="preserve"> inflation index average.</t>
    </r>
  </si>
  <si>
    <r>
      <rPr>
        <b/>
        <sz val="11"/>
        <color theme="1"/>
        <rFont val="Calibri"/>
        <family val="2"/>
        <scheme val="minor"/>
      </rPr>
      <t>Food</t>
    </r>
    <r>
      <rPr>
        <sz val="11"/>
        <color theme="1"/>
        <rFont val="Calibri"/>
        <family val="2"/>
        <scheme val="minor"/>
      </rPr>
      <t xml:space="preserve"> Category goes increasing too rapidly in covid-19</t>
    </r>
  </si>
  <si>
    <r>
      <rPr>
        <b/>
        <sz val="11"/>
        <color theme="1"/>
        <rFont val="Calibri"/>
        <family val="2"/>
        <scheme val="minor"/>
      </rPr>
      <t>Food</t>
    </r>
    <r>
      <rPr>
        <sz val="11"/>
        <color theme="1"/>
        <rFont val="Calibri"/>
        <family val="2"/>
        <scheme val="minor"/>
      </rPr>
      <t xml:space="preserve"> contribution is more in cpi inflation</t>
    </r>
  </si>
  <si>
    <t>Food Category is wider than other categories, combination of similar categories</t>
  </si>
  <si>
    <r>
      <rPr>
        <b/>
        <sz val="11"/>
        <color theme="1"/>
        <rFont val="Calibri"/>
        <family val="2"/>
        <scheme val="minor"/>
      </rPr>
      <t>2020</t>
    </r>
    <r>
      <rPr>
        <sz val="11"/>
        <color theme="1"/>
        <rFont val="Calibri"/>
        <family val="2"/>
        <scheme val="minor"/>
      </rPr>
      <t xml:space="preserve"> has highest inflation index</t>
    </r>
  </si>
  <si>
    <t xml:space="preserve">After covid-19, there is sudden increase and then decrease at 2023 </t>
  </si>
  <si>
    <r>
      <rPr>
        <b/>
        <sz val="11"/>
        <color theme="1"/>
        <rFont val="Calibri"/>
        <family val="2"/>
        <scheme val="minor"/>
      </rPr>
      <t>June 2022</t>
    </r>
    <r>
      <rPr>
        <sz val="11"/>
        <color theme="1"/>
        <rFont val="Calibri"/>
        <family val="2"/>
        <scheme val="minor"/>
      </rPr>
      <t xml:space="preserve"> - highest, </t>
    </r>
    <r>
      <rPr>
        <b/>
        <sz val="11"/>
        <color theme="1"/>
        <rFont val="Calibri"/>
        <family val="2"/>
        <scheme val="minor"/>
      </rPr>
      <t>December 2022</t>
    </r>
    <r>
      <rPr>
        <sz val="11"/>
        <color theme="1"/>
        <rFont val="Calibri"/>
        <family val="2"/>
        <scheme val="minor"/>
      </rPr>
      <t xml:space="preserve"> - Lowest</t>
    </r>
  </si>
  <si>
    <t>Due to Covid-19, Food Category inflation rate is increasing rapidly</t>
  </si>
  <si>
    <t>Food are affected due to Covid-19 viruses and wasted</t>
  </si>
  <si>
    <t>Average</t>
  </si>
  <si>
    <t>Ratio *</t>
  </si>
  <si>
    <t>2000-01</t>
  </si>
  <si>
    <t>57:43</t>
  </si>
  <si>
    <t>2001-02</t>
  </si>
  <si>
    <t>2002-03</t>
  </si>
  <si>
    <t>2003-04</t>
  </si>
  <si>
    <t>2004-05</t>
  </si>
  <si>
    <t>2005-06</t>
  </si>
  <si>
    <t>58:42</t>
  </si>
  <si>
    <t>2006-07</t>
  </si>
  <si>
    <t>59.8:40.2</t>
  </si>
  <si>
    <t>2007-08</t>
  </si>
  <si>
    <t>61.4:38.6</t>
  </si>
  <si>
    <t>2008-09</t>
  </si>
  <si>
    <t>62.3:37.7</t>
  </si>
  <si>
    <t>2009-10</t>
  </si>
  <si>
    <t>63.5:36.5</t>
  </si>
  <si>
    <t>2010-11</t>
  </si>
  <si>
    <t>67.6:32.4</t>
  </si>
  <si>
    <t>2011-12</t>
  </si>
  <si>
    <t>65.2:34.8</t>
  </si>
  <si>
    <t>2012-13</t>
  </si>
  <si>
    <t>68.2:31.8</t>
  </si>
  <si>
    <t>2013-14</t>
  </si>
  <si>
    <t>69.9:30.1</t>
  </si>
  <si>
    <t>2014-15</t>
  </si>
  <si>
    <t>72.04:27.96</t>
  </si>
  <si>
    <t>2015-16</t>
  </si>
  <si>
    <t>72.28:27.72</t>
  </si>
  <si>
    <t>2016-17</t>
  </si>
  <si>
    <t>71.03:28.97</t>
  </si>
  <si>
    <t>2017-18</t>
  </si>
  <si>
    <t>72.38:27.62</t>
  </si>
  <si>
    <t>2018-19</t>
  </si>
  <si>
    <t>74.77:25.23</t>
  </si>
  <si>
    <t>2019-20</t>
  </si>
  <si>
    <t>75.50:24.50</t>
  </si>
  <si>
    <t>2020-21</t>
  </si>
  <si>
    <t>75.62:24.38</t>
  </si>
  <si>
    <t>2021-22</t>
  </si>
  <si>
    <t>2022-23</t>
  </si>
  <si>
    <t>2023-24</t>
  </si>
  <si>
    <t>2024-25</t>
  </si>
  <si>
    <t>78.50:21.50</t>
  </si>
  <si>
    <t>2025-26</t>
  </si>
  <si>
    <t>78.71:21.29 (Till Feb'26) &amp; 38.98:61.02 for March'26</t>
  </si>
  <si>
    <t>Notes:</t>
  </si>
  <si>
    <t>* The composition of Indian Basket of Crude represents Average of Oman &amp; Dubai for sour grades and Brent (Dated) for sweet grade in the ratio of  crude processed during previous financial year, e.g. ratio of crude processed as indicated in the table above.</t>
  </si>
  <si>
    <t>- Crude oil prices are average of daily prices of respective month.</t>
  </si>
  <si>
    <t>Crude Oil Prices</t>
  </si>
  <si>
    <r>
      <t xml:space="preserve">The highest correlation coefficient is with </t>
    </r>
    <r>
      <rPr>
        <b/>
        <sz val="11"/>
        <color theme="1"/>
        <rFont val="Calibri"/>
        <family val="2"/>
        <scheme val="minor"/>
      </rPr>
      <t xml:space="preserve">Transport &amp; Communication </t>
    </r>
    <r>
      <rPr>
        <sz val="11"/>
        <color theme="1"/>
        <rFont val="Calibri"/>
        <family val="2"/>
        <scheme val="minor"/>
      </rPr>
      <t xml:space="preserve">that rises with rises in </t>
    </r>
    <r>
      <rPr>
        <b/>
        <sz val="11"/>
        <color theme="1"/>
        <rFont val="Calibri"/>
        <family val="2"/>
        <scheme val="minor"/>
      </rPr>
      <t>Fuel</t>
    </r>
    <r>
      <rPr>
        <sz val="11"/>
        <color theme="1"/>
        <rFont val="Calibri"/>
        <family val="2"/>
        <scheme val="minor"/>
      </rPr>
      <t xml:space="preserve"> prices or </t>
    </r>
    <r>
      <rPr>
        <b/>
        <sz val="11"/>
        <color theme="1"/>
        <rFont val="Calibri"/>
        <family val="2"/>
        <scheme val="minor"/>
      </rPr>
      <t>crude</t>
    </r>
    <r>
      <rPr>
        <sz val="11"/>
        <color theme="1"/>
        <rFont val="Calibri"/>
        <family val="2"/>
        <scheme val="minor"/>
      </rPr>
      <t xml:space="preserve"> </t>
    </r>
    <r>
      <rPr>
        <b/>
        <sz val="11"/>
        <color theme="1"/>
        <rFont val="Calibri"/>
        <family val="2"/>
        <scheme val="minor"/>
      </rPr>
      <t>oil</t>
    </r>
    <r>
      <rPr>
        <sz val="11"/>
        <color theme="1"/>
        <rFont val="Calibri"/>
        <family val="2"/>
        <scheme val="minor"/>
      </rPr>
      <t xml:space="preserve"> prices. </t>
    </r>
  </si>
  <si>
    <r>
      <rPr>
        <b/>
        <sz val="11"/>
        <color theme="1"/>
        <rFont val="Calibri"/>
        <family val="2"/>
        <scheme val="minor"/>
      </rPr>
      <t>Transport &amp; Communication are</t>
    </r>
    <r>
      <rPr>
        <sz val="11"/>
        <color theme="1"/>
        <rFont val="Calibri"/>
        <family val="2"/>
        <scheme val="minor"/>
      </rPr>
      <t xml:space="preserve"> rises with rises in </t>
    </r>
    <r>
      <rPr>
        <b/>
        <sz val="11"/>
        <color theme="1"/>
        <rFont val="Calibri"/>
        <family val="2"/>
        <scheme val="minor"/>
      </rPr>
      <t>Crude Oil</t>
    </r>
    <r>
      <rPr>
        <sz val="11"/>
        <color theme="1"/>
        <rFont val="Calibri"/>
        <family val="2"/>
        <scheme val="minor"/>
      </rPr>
      <t xml:space="preserve"> prices </t>
    </r>
  </si>
  <si>
    <t>Crude Oil is highly imported and the transport and commication are required for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</si>
</sst>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F800]dddd\,\ mmmm\ dd\,\ yyyy"/>
    <numFmt numFmtId="171" formatCode="mmmm"/>
  </numFmts>
  <fonts count="14" x14ac:knownFonts="1">
    <font>
      <sz val="11"/>
      <color theme="1"/>
      <name val="Calibri"/>
      <family val="2"/>
      <scheme val="minor"/>
    </font>
    <font>
      <b/>
      <sz val="11"/>
      <color theme="1"/>
      <name val="Calibri"/>
      <family val="2"/>
      <scheme val="minor"/>
    </font>
    <font>
      <sz val="8"/>
      <name val="Calibri"/>
      <family val="2"/>
      <scheme val="minor"/>
    </font>
    <font>
      <sz val="14"/>
      <color theme="0"/>
      <name val="Calibri"/>
      <family val="2"/>
      <scheme val="minor"/>
    </font>
    <font>
      <sz val="14"/>
      <color theme="1"/>
      <name val="Calibri"/>
      <family val="2"/>
      <scheme val="minor"/>
    </font>
    <font>
      <b/>
      <sz val="16"/>
      <color theme="1"/>
      <name val="Calibri"/>
      <family val="2"/>
      <scheme val="minor"/>
    </font>
    <font>
      <b/>
      <sz val="16"/>
      <color theme="5" tint="-0.249977111117893"/>
      <name val="Calibri"/>
      <family val="2"/>
      <scheme val="minor"/>
    </font>
    <font>
      <sz val="11"/>
      <color theme="0"/>
      <name val="Calibri"/>
      <family val="2"/>
      <scheme val="minor"/>
    </font>
    <font>
      <sz val="10"/>
      <name val="Arial"/>
      <family val="2"/>
    </font>
    <font>
      <b/>
      <sz val="12"/>
      <name val="Times New Roman"/>
      <family val="1"/>
    </font>
    <font>
      <sz val="12"/>
      <color theme="1"/>
      <name val="Times New Roman"/>
      <family val="1"/>
    </font>
    <font>
      <b/>
      <sz val="12"/>
      <color theme="1"/>
      <name val="Times New Roman"/>
      <family val="1"/>
    </font>
    <font>
      <i/>
      <sz val="12"/>
      <name val="Times New Roman"/>
      <family val="1"/>
    </font>
    <font>
      <i/>
      <sz val="12"/>
      <color theme="1"/>
      <name val="Times New Roman"/>
      <family val="1"/>
    </font>
  </fonts>
  <fills count="17">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7"/>
        <bgColor indexed="64"/>
      </patternFill>
    </fill>
    <fill>
      <patternFill patternType="solid">
        <fgColor theme="9"/>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5" tint="-0.49998474074526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7" tint="0.59999389629810485"/>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8" fillId="0" borderId="0"/>
  </cellStyleXfs>
  <cellXfs count="53">
    <xf numFmtId="0" fontId="0" fillId="0" borderId="0" xfId="0"/>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14" fontId="0" fillId="0" borderId="0" xfId="0" applyNumberFormat="1"/>
    <xf numFmtId="165" fontId="0" fillId="0" borderId="0" xfId="0" applyNumberFormat="1" applyAlignment="1">
      <alignment horizontal="left"/>
    </xf>
    <xf numFmtId="0" fontId="0" fillId="3" borderId="1" xfId="0" applyFill="1" applyBorder="1"/>
    <xf numFmtId="0" fontId="0" fillId="4" borderId="1" xfId="0" applyFill="1" applyBorder="1"/>
    <xf numFmtId="164" fontId="0" fillId="4" borderId="1" xfId="0" applyNumberFormat="1" applyFill="1" applyBorder="1"/>
    <xf numFmtId="0" fontId="3" fillId="6" borderId="0" xfId="0" applyFont="1" applyFill="1" applyAlignment="1">
      <alignment horizontal="center"/>
    </xf>
    <xf numFmtId="164" fontId="4" fillId="5" borderId="0" xfId="0" applyNumberFormat="1" applyFont="1" applyFill="1"/>
    <xf numFmtId="164" fontId="0" fillId="9" borderId="0" xfId="0" applyNumberFormat="1" applyFill="1"/>
    <xf numFmtId="0" fontId="0" fillId="9" borderId="0" xfId="0" applyFill="1"/>
    <xf numFmtId="0" fontId="0" fillId="8" borderId="1" xfId="0" applyFill="1" applyBorder="1"/>
    <xf numFmtId="0" fontId="0" fillId="12" borderId="1" xfId="0" applyFill="1" applyBorder="1" applyAlignment="1">
      <alignment horizontal="center"/>
    </xf>
    <xf numFmtId="0" fontId="5" fillId="11" borderId="1" xfId="0" applyFont="1" applyFill="1" applyBorder="1" applyAlignment="1">
      <alignment horizontal="center"/>
    </xf>
    <xf numFmtId="0" fontId="6" fillId="12" borderId="1" xfId="0" applyFont="1" applyFill="1" applyBorder="1" applyAlignment="1">
      <alignment horizontal="center"/>
    </xf>
    <xf numFmtId="2" fontId="0" fillId="0" borderId="0" xfId="0" applyNumberFormat="1"/>
    <xf numFmtId="0" fontId="0" fillId="2" borderId="0" xfId="0" applyFill="1" applyAlignment="1"/>
    <xf numFmtId="0" fontId="0" fillId="13" borderId="0" xfId="0" applyFill="1" applyAlignment="1">
      <alignment horizontal="center" vertical="center"/>
    </xf>
    <xf numFmtId="0" fontId="0" fillId="13" borderId="0" xfId="0" applyFill="1" applyAlignment="1">
      <alignment horizontal="center" vertical="center"/>
    </xf>
    <xf numFmtId="0" fontId="0" fillId="10" borderId="0" xfId="0" applyFill="1" applyAlignment="1">
      <alignment horizontal="center"/>
    </xf>
    <xf numFmtId="0" fontId="0" fillId="7" borderId="0" xfId="0" applyFill="1" applyAlignment="1">
      <alignment horizontal="center"/>
    </xf>
    <xf numFmtId="0" fontId="0" fillId="10" borderId="0" xfId="0" applyFill="1" applyAlignment="1">
      <alignment horizontal="left" vertical="top" wrapText="1"/>
    </xf>
    <xf numFmtId="0" fontId="0" fillId="10" borderId="0" xfId="0" applyFill="1"/>
    <xf numFmtId="165" fontId="0" fillId="2" borderId="0" xfId="0" applyNumberFormat="1" applyFill="1" applyAlignment="1">
      <alignment horizontal="left"/>
    </xf>
    <xf numFmtId="165" fontId="0" fillId="2" borderId="1" xfId="0" applyNumberFormat="1" applyFill="1" applyBorder="1" applyAlignment="1">
      <alignment horizontal="left"/>
    </xf>
    <xf numFmtId="0" fontId="0" fillId="0" borderId="1" xfId="0" applyBorder="1"/>
    <xf numFmtId="165" fontId="0" fillId="0" borderId="1" xfId="0" applyNumberFormat="1" applyBorder="1" applyAlignment="1">
      <alignment horizontal="left"/>
    </xf>
    <xf numFmtId="0" fontId="0" fillId="3" borderId="0" xfId="0" applyFill="1"/>
    <xf numFmtId="165" fontId="0" fillId="3" borderId="1" xfId="0" applyNumberFormat="1" applyFill="1" applyBorder="1" applyAlignment="1">
      <alignment horizontal="left"/>
    </xf>
    <xf numFmtId="165" fontId="7" fillId="14" borderId="1" xfId="0" applyNumberFormat="1" applyFont="1" applyFill="1" applyBorder="1" applyAlignment="1">
      <alignment horizontal="left"/>
    </xf>
    <xf numFmtId="165" fontId="0" fillId="15" borderId="0" xfId="0" applyNumberFormat="1" applyFill="1" applyAlignment="1">
      <alignment horizontal="left"/>
    </xf>
    <xf numFmtId="0" fontId="0" fillId="15" borderId="0" xfId="0" applyFill="1" applyAlignment="1">
      <alignment horizontal="center"/>
    </xf>
    <xf numFmtId="171" fontId="9" fillId="0" borderId="1" xfId="1" quotePrefix="1" applyNumberFormat="1" applyFont="1" applyBorder="1" applyAlignment="1">
      <alignment horizontal="left" vertical="center"/>
    </xf>
    <xf numFmtId="171" fontId="9" fillId="16" borderId="1" xfId="1" applyNumberFormat="1" applyFont="1" applyFill="1" applyBorder="1" applyAlignment="1">
      <alignment horizontal="left" vertical="center"/>
    </xf>
    <xf numFmtId="171" fontId="9" fillId="16" borderId="1" xfId="1" applyNumberFormat="1" applyFont="1" applyFill="1" applyBorder="1" applyAlignment="1">
      <alignment horizontal="right" vertical="center"/>
    </xf>
    <xf numFmtId="4" fontId="10" fillId="0" borderId="1" xfId="0" applyNumberFormat="1" applyFont="1" applyBorder="1" applyAlignment="1">
      <alignment horizontal="right" vertical="center"/>
    </xf>
    <xf numFmtId="4" fontId="11" fillId="0" borderId="1" xfId="0" applyNumberFormat="1" applyFont="1" applyBorder="1" applyAlignment="1">
      <alignment horizontal="right" vertical="center"/>
    </xf>
    <xf numFmtId="49" fontId="11" fillId="0" borderId="1" xfId="0" applyNumberFormat="1" applyFont="1" applyBorder="1" applyAlignment="1">
      <alignment horizontal="right" vertical="center"/>
    </xf>
    <xf numFmtId="171" fontId="9" fillId="0" borderId="1" xfId="1" applyNumberFormat="1" applyFont="1" applyBorder="1" applyAlignment="1">
      <alignment horizontal="left" vertical="center"/>
    </xf>
    <xf numFmtId="49" fontId="11" fillId="0" borderId="1" xfId="0" applyNumberFormat="1" applyFont="1" applyBorder="1" applyAlignment="1">
      <alignment horizontal="right" vertical="center" wrapText="1"/>
    </xf>
    <xf numFmtId="0" fontId="9" fillId="0" borderId="0" xfId="0" applyFont="1" applyAlignment="1">
      <alignment wrapText="1"/>
    </xf>
    <xf numFmtId="0" fontId="12" fillId="0" borderId="0" xfId="0" applyFont="1"/>
    <xf numFmtId="0" fontId="13" fillId="0" borderId="0" xfId="0" applyFont="1"/>
    <xf numFmtId="0" fontId="10" fillId="0" borderId="0" xfId="0" applyFont="1"/>
    <xf numFmtId="0" fontId="12" fillId="0" borderId="0" xfId="0" quotePrefix="1" applyFont="1" applyAlignment="1">
      <alignment horizontal="left" vertical="top" wrapText="1"/>
    </xf>
    <xf numFmtId="2" fontId="0" fillId="0" borderId="1" xfId="0" applyNumberFormat="1" applyBorder="1"/>
    <xf numFmtId="4" fontId="0" fillId="0" borderId="0" xfId="0" applyNumberFormat="1"/>
    <xf numFmtId="4" fontId="11" fillId="0" borderId="2" xfId="0" applyNumberFormat="1" applyFont="1" applyFill="1" applyBorder="1" applyAlignment="1">
      <alignment horizontal="right" vertical="center"/>
    </xf>
  </cellXfs>
  <cellStyles count="2">
    <cellStyle name="Normal" xfId="0" builtinId="0"/>
    <cellStyle name="Normal 4" xfId="1" xr:uid="{4C03F529-DAAD-458A-A9F0-0CB0702B9F10}"/>
  </cellStyles>
  <dxfs count="48">
    <dxf>
      <numFmt numFmtId="164" formatCode="0.0"/>
    </dxf>
    <dxf>
      <numFmt numFmtId="165" formatCode="[$-F800]dddd\,\ mmmm\ dd\,\ yyyy"/>
    </dxf>
    <dxf>
      <fill>
        <patternFill patternType="solid">
          <bgColor theme="7" tint="0.59999389629810485"/>
        </patternFill>
      </fill>
    </dxf>
    <dxf>
      <fill>
        <patternFill>
          <bgColor theme="0"/>
        </patternFill>
      </fill>
    </dxf>
    <dxf>
      <fill>
        <patternFill>
          <bgColor theme="0"/>
        </patternFill>
      </fill>
    </dxf>
    <dxf>
      <numFmt numFmtId="164" formatCode="0.0"/>
    </dxf>
    <dxf>
      <numFmt numFmtId="164" formatCode="0.0"/>
    </dxf>
    <dxf>
      <numFmt numFmtId="165" formatCode="[$-F800]dddd\,\ mmmm\ dd\,\ yyyy"/>
    </dxf>
    <dxf>
      <numFmt numFmtId="165" formatCode="[$-F800]dddd\,\ mmmm\ dd\,\ yyyy"/>
    </dxf>
    <dxf>
      <numFmt numFmtId="165" formatCode="[$-F800]dddd\,\ mmmm\ dd\,\ yyyy"/>
    </dxf>
    <dxf>
      <numFmt numFmtId="165" formatCode="[$-F800]dddd\,\ mmmm\ dd\,\ yyyy"/>
    </dxf>
    <dxf>
      <numFmt numFmtId="164" formatCode="0.0"/>
    </dxf>
    <dxf>
      <numFmt numFmtId="165" formatCode="[$-F800]dddd\,\ mmmm\ dd\,\ yyyy"/>
    </dxf>
    <dxf>
      <fill>
        <patternFill patternType="solid">
          <bgColor theme="7" tint="0.79998168889431442"/>
        </patternFill>
      </fill>
    </dxf>
    <dxf>
      <fill>
        <patternFill patternType="solid">
          <bgColor theme="9"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
      <numFmt numFmtId="164" formatCode="0.0"/>
    </dxf>
    <dxf>
      <numFmt numFmtId="0" formatCode="General"/>
    </dxf>
    <dxf>
      <numFmt numFmtId="164" formatCode="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[India_CPI_Inflation_Case_Study.xlsx]LatestMonthBYCategoriesAvg!PivotTable1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Latest</a:t>
            </a:r>
            <a:r>
              <a:rPr lang="en-US" b="1" baseline="0">
                <a:solidFill>
                  <a:schemeClr val="tx1"/>
                </a:solidFill>
              </a:rPr>
              <a:t> Month VS Categories Contribution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dLbl>
          <c:idx val="0"/>
          <c:layout>
            <c:manualLayout>
              <c:x val="7.4285714285714288E-2"/>
              <c:y val="2.268394729261081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8.9523809523809519E-2"/>
              <c:y val="9.7216916968332553E-3"/>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9.9047619047619065E-2"/>
              <c:y val="-5.5089586282055111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0.18285714285714286"/>
              <c:y val="-5.1849022383110697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0.14857142857142849"/>
              <c:y val="-3.2405638989444182E-3"/>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LatestMonthBYCategoriesAvg!$B$4:$B$6</c:f>
              <c:strCache>
                <c:ptCount val="1"/>
                <c:pt idx="0">
                  <c:v>2023 - May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DF-45FE-8B7C-B3A770390E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DF-45FE-8B7C-B3A770390E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DF-45FE-8B7C-B3A770390E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DF-45FE-8B7C-B3A770390E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0DF-45FE-8B7C-B3A770390EF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0DF-45FE-8B7C-B3A770390EF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0DF-45FE-8B7C-B3A770390EF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0DF-45FE-8B7C-B3A770390EF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0DF-45FE-8B7C-B3A770390EF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0DF-45FE-8B7C-B3A770390EF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0DF-45FE-8B7C-B3A770390EF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0DF-45FE-8B7C-B3A770390EF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0DF-45FE-8B7C-B3A770390EF5}"/>
              </c:ext>
            </c:extLst>
          </c:dPt>
          <c:dLbls>
            <c:dLbl>
              <c:idx val="1"/>
              <c:layout>
                <c:manualLayout>
                  <c:x val="7.4285714285714288E-2"/>
                  <c:y val="2.26839472926108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0DF-45FE-8B7C-B3A770390EF5}"/>
                </c:ext>
              </c:extLst>
            </c:dLbl>
            <c:dLbl>
              <c:idx val="7"/>
              <c:layout>
                <c:manualLayout>
                  <c:x val="-8.9523809523809519E-2"/>
                  <c:y val="9.7216916968332553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00DF-45FE-8B7C-B3A770390EF5}"/>
                </c:ext>
              </c:extLst>
            </c:dLbl>
            <c:dLbl>
              <c:idx val="8"/>
              <c:layout>
                <c:manualLayout>
                  <c:x val="-9.9047619047619065E-2"/>
                  <c:y val="-5.508958628205511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00DF-45FE-8B7C-B3A770390EF5}"/>
                </c:ext>
              </c:extLst>
            </c:dLbl>
            <c:dLbl>
              <c:idx val="10"/>
              <c:layout>
                <c:manualLayout>
                  <c:x val="-0.18285714285714286"/>
                  <c:y val="-5.18490223831106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00DF-45FE-8B7C-B3A770390EF5}"/>
                </c:ext>
              </c:extLst>
            </c:dLbl>
            <c:dLbl>
              <c:idx val="12"/>
              <c:layout>
                <c:manualLayout>
                  <c:x val="0.14857142857142849"/>
                  <c:y val="-3.240563898944418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9-00DF-45FE-8B7C-B3A770390EF5}"/>
                </c:ext>
              </c:extLst>
            </c:dLbl>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LatestMonthBYCategoriesAvg!$A$7:$A$19</c:f>
              <c:strCache>
                <c:ptCount val="13"/>
                <c:pt idx="0">
                  <c:v>Average of Food</c:v>
                </c:pt>
                <c:pt idx="1">
                  <c:v>Average of Clothing</c:v>
                </c:pt>
                <c:pt idx="2">
                  <c:v>Average of Footwear</c:v>
                </c:pt>
                <c:pt idx="3">
                  <c:v>Average of Housing</c:v>
                </c:pt>
                <c:pt idx="4">
                  <c:v>Average of Fuel and light</c:v>
                </c:pt>
                <c:pt idx="5">
                  <c:v>Average of Household goods and services</c:v>
                </c:pt>
                <c:pt idx="6">
                  <c:v>Average of Health</c:v>
                </c:pt>
                <c:pt idx="7">
                  <c:v>Average of Transport and communication</c:v>
                </c:pt>
                <c:pt idx="8">
                  <c:v>Average of Recreation and amusement</c:v>
                </c:pt>
                <c:pt idx="9">
                  <c:v>Average of Education</c:v>
                </c:pt>
                <c:pt idx="10">
                  <c:v>Average of Personal care and effects</c:v>
                </c:pt>
                <c:pt idx="11">
                  <c:v>Average of Miscellaneous</c:v>
                </c:pt>
                <c:pt idx="12">
                  <c:v>Average of General index</c:v>
                </c:pt>
              </c:strCache>
            </c:strRef>
          </c:cat>
          <c:val>
            <c:numRef>
              <c:f>LatestMonthBYCategoriesAvg!$B$7:$B$19</c:f>
              <c:numCache>
                <c:formatCode>General</c:formatCode>
                <c:ptCount val="13"/>
                <c:pt idx="0">
                  <c:v>2512.6000000000004</c:v>
                </c:pt>
                <c:pt idx="1">
                  <c:v>186.6</c:v>
                </c:pt>
                <c:pt idx="2">
                  <c:v>178.56666666666663</c:v>
                </c:pt>
                <c:pt idx="3">
                  <c:v>163.44</c:v>
                </c:pt>
                <c:pt idx="4">
                  <c:v>182.9</c:v>
                </c:pt>
                <c:pt idx="5">
                  <c:v>175.0333333333333</c:v>
                </c:pt>
                <c:pt idx="6">
                  <c:v>185.23333333333335</c:v>
                </c:pt>
                <c:pt idx="7">
                  <c:v>164.96666666666667</c:v>
                </c:pt>
                <c:pt idx="8">
                  <c:v>171.4</c:v>
                </c:pt>
                <c:pt idx="9">
                  <c:v>177.4</c:v>
                </c:pt>
                <c:pt idx="10">
                  <c:v>185.23333333333332</c:v>
                </c:pt>
                <c:pt idx="11">
                  <c:v>175.6</c:v>
                </c:pt>
                <c:pt idx="12">
                  <c:v>179.0333333333333</c:v>
                </c:pt>
              </c:numCache>
            </c:numRef>
          </c:val>
          <c:extLst>
            <c:ext xmlns:c16="http://schemas.microsoft.com/office/drawing/2014/chart" uri="{C3380CC4-5D6E-409C-BE32-E72D297353CC}">
              <c16:uniqueId val="{00000000-C46D-4E3C-A6B4-8176C12F61E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Year</a:t>
            </a:r>
            <a:r>
              <a:rPr lang="en-IN" b="1" baseline="0">
                <a:solidFill>
                  <a:schemeClr val="tx1"/>
                </a:solidFill>
              </a:rPr>
              <a:t> VS Inflation % Change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6"/>
            </a:solidFill>
            <a:ln>
              <a:noFill/>
            </a:ln>
            <a:effectLst/>
          </c:spPr>
          <c:invertIfNegative val="0"/>
          <c:cat>
            <c:numRef>
              <c:f>YearByInflationRate!$I$9:$I$15</c:f>
              <c:numCache>
                <c:formatCode>General</c:formatCode>
                <c:ptCount val="7"/>
                <c:pt idx="0">
                  <c:v>2017</c:v>
                </c:pt>
                <c:pt idx="1">
                  <c:v>2018</c:v>
                </c:pt>
                <c:pt idx="2">
                  <c:v>2019</c:v>
                </c:pt>
                <c:pt idx="3">
                  <c:v>2020</c:v>
                </c:pt>
                <c:pt idx="4">
                  <c:v>2021</c:v>
                </c:pt>
                <c:pt idx="5">
                  <c:v>2022</c:v>
                </c:pt>
                <c:pt idx="6">
                  <c:v>2023</c:v>
                </c:pt>
              </c:numCache>
            </c:numRef>
          </c:cat>
          <c:val>
            <c:numRef>
              <c:f>YearByInflationRate!$J$9:$J$15</c:f>
              <c:numCache>
                <c:formatCode>General</c:formatCode>
                <c:ptCount val="7"/>
                <c:pt idx="0">
                  <c:v>2.3150873366504219</c:v>
                </c:pt>
                <c:pt idx="1">
                  <c:v>2.7158501301300491</c:v>
                </c:pt>
                <c:pt idx="2">
                  <c:v>3.58081568153042</c:v>
                </c:pt>
                <c:pt idx="3">
                  <c:v>7.4014847150725416</c:v>
                </c:pt>
                <c:pt idx="4">
                  <c:v>6.2813453809833844</c:v>
                </c:pt>
                <c:pt idx="5">
                  <c:v>6.0843190250129648</c:v>
                </c:pt>
                <c:pt idx="6">
                  <c:v>2.7684620347400006</c:v>
                </c:pt>
              </c:numCache>
            </c:numRef>
          </c:val>
          <c:extLst>
            <c:ext xmlns:c16="http://schemas.microsoft.com/office/drawing/2014/chart" uri="{C3380CC4-5D6E-409C-BE32-E72D297353CC}">
              <c16:uniqueId val="{00000000-D8E4-46A0-B132-F2C74392FE34}"/>
            </c:ext>
          </c:extLst>
        </c:ser>
        <c:dLbls>
          <c:showLegendKey val="0"/>
          <c:showVal val="0"/>
          <c:showCatName val="0"/>
          <c:showSerName val="0"/>
          <c:showPercent val="0"/>
          <c:showBubbleSize val="0"/>
        </c:dLbls>
        <c:gapWidth val="219"/>
        <c:overlap val="-27"/>
        <c:axId val="1638169168"/>
        <c:axId val="1638174160"/>
      </c:barChart>
      <c:catAx>
        <c:axId val="1638169168"/>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sz="1200" b="1">
                    <a:solidFill>
                      <a:schemeClr val="tx1"/>
                    </a:solidFill>
                  </a:rPr>
                  <a:t>Year</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174160"/>
        <c:crosses val="autoZero"/>
        <c:auto val="1"/>
        <c:lblAlgn val="ctr"/>
        <c:lblOffset val="100"/>
        <c:noMultiLvlLbl val="0"/>
      </c:catAx>
      <c:valAx>
        <c:axId val="1638174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solidFill>
                      <a:schemeClr val="tx1"/>
                    </a:solidFill>
                  </a:rPr>
                  <a:t>Inflation % change</a:t>
                </a:r>
              </a:p>
            </c:rich>
          </c:tx>
          <c:layout>
            <c:manualLayout>
              <c:xMode val="edge"/>
              <c:yMode val="edge"/>
              <c:x val="2.2222222222222223E-2"/>
              <c:y val="0.305570866141732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169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baseline="0">
                <a:effectLst/>
              </a:rPr>
              <a:t>Latest 12 Months VS Average Of Food</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2"/>
            </a:solidFill>
            <a:ln>
              <a:noFill/>
            </a:ln>
            <a:effectLst/>
          </c:spPr>
          <c:invertIfNegative val="0"/>
          <c:cat>
            <c:numRef>
              <c:f>'12monthsByFoodAverage'!$A$20:$A$31</c:f>
              <c:numCache>
                <c:formatCode>[$-F800]dddd\,\ mmmm\ dd\,\ yyyy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'12monthsByFoodAverage'!$B$20:$B$31</c:f>
              <c:numCache>
                <c:formatCode>General</c:formatCode>
                <c:ptCount val="12"/>
                <c:pt idx="0">
                  <c:v>0.96821836879820189</c:v>
                </c:pt>
                <c:pt idx="1">
                  <c:v>0.18420197204462213</c:v>
                </c:pt>
                <c:pt idx="2">
                  <c:v>0.12573004542506344</c:v>
                </c:pt>
                <c:pt idx="3">
                  <c:v>0.52794318197159829</c:v>
                </c:pt>
                <c:pt idx="4">
                  <c:v>0.67425992585828087</c:v>
                </c:pt>
                <c:pt idx="5">
                  <c:v>-4.6695306454619438E-2</c:v>
                </c:pt>
                <c:pt idx="6">
                  <c:v>-0.55126202965870652</c:v>
                </c:pt>
                <c:pt idx="7">
                  <c:v>0.43217995866105718</c:v>
                </c:pt>
                <c:pt idx="8">
                  <c:v>-0.45838456192869215</c:v>
                </c:pt>
                <c:pt idx="9">
                  <c:v>6.7127609585761602E-3</c:v>
                </c:pt>
                <c:pt idx="10">
                  <c:v>0.48462880923613788</c:v>
                </c:pt>
                <c:pt idx="11">
                  <c:v>0.70406540994777866</c:v>
                </c:pt>
              </c:numCache>
            </c:numRef>
          </c:val>
          <c:extLst>
            <c:ext xmlns:c16="http://schemas.microsoft.com/office/drawing/2014/chart" uri="{C3380CC4-5D6E-409C-BE32-E72D297353CC}">
              <c16:uniqueId val="{00000000-BDEA-40F9-989F-754EA5E5AF93}"/>
            </c:ext>
          </c:extLst>
        </c:ser>
        <c:dLbls>
          <c:showLegendKey val="0"/>
          <c:showVal val="0"/>
          <c:showCatName val="0"/>
          <c:showSerName val="0"/>
          <c:showPercent val="0"/>
          <c:showBubbleSize val="0"/>
        </c:dLbls>
        <c:gapWidth val="219"/>
        <c:overlap val="-27"/>
        <c:axId val="1669593456"/>
        <c:axId val="1669595536"/>
      </c:barChart>
      <c:dateAx>
        <c:axId val="1669593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solidFill>
                      <a:schemeClr val="tx1"/>
                    </a:solidFill>
                  </a:rPr>
                  <a:t>Latest 12 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14009]dd/mm/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595536"/>
        <c:crosses val="autoZero"/>
        <c:auto val="1"/>
        <c:lblOffset val="100"/>
        <c:baseTimeUnit val="months"/>
      </c:dateAx>
      <c:valAx>
        <c:axId val="1669595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solidFill>
                      <a:schemeClr val="tx1"/>
                    </a:solidFill>
                  </a:rPr>
                  <a:t>% change for food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593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Biggest Contributer for</a:t>
            </a:r>
            <a:r>
              <a:rPr lang="en-US" baseline="0"/>
              <a:t> Food Category</a:t>
            </a:r>
            <a:endParaRPr lang="en-US"/>
          </a:p>
        </c:rich>
      </c:tx>
      <c:layout>
        <c:manualLayout>
          <c:xMode val="edge"/>
          <c:yMode val="edge"/>
          <c:x val="0.26877975317555219"/>
          <c:y val="6.2480474851608877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pieChart>
        <c:varyColors val="1"/>
        <c:ser>
          <c:idx val="0"/>
          <c:order val="0"/>
          <c:tx>
            <c:v>Biggest Contributer</c:v>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091E-47EE-989B-A2959534940A}"/>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091E-47EE-989B-A2959534940A}"/>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5-091E-47EE-989B-A2959534940A}"/>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091E-47EE-989B-A2959534940A}"/>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091E-47EE-989B-A2959534940A}"/>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091E-47EE-989B-A2959534940A}"/>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091E-47EE-989B-A2959534940A}"/>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091E-47EE-989B-A2959534940A}"/>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091E-47EE-989B-A2959534940A}"/>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01-1FEE-427B-A667-FE0CD303ECAE}"/>
              </c:ext>
            </c:extLst>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5-091E-47EE-989B-A2959534940A}"/>
              </c:ext>
            </c:extLst>
          </c:dPt>
          <c:dPt>
            <c:idx val="1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7-091E-47EE-989B-A2959534940A}"/>
              </c:ext>
            </c:extLst>
          </c:dPt>
          <c:dLbls>
            <c:dLbl>
              <c:idx val="9"/>
              <c:layout>
                <c:manualLayout>
                  <c:x val="-9.5510983763132974E-3"/>
                  <c:y val="1.87441424554826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FEE-427B-A667-FE0CD303ECA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extLst>
                <c:ext xmlns:c15="http://schemas.microsoft.com/office/drawing/2012/chart" uri="{02D57815-91ED-43cb-92C2-25804820EDAC}">
                  <c15:fullRef>
                    <c15:sqref>BiggestContrFoodBy12months!$Q$4:$Q$16</c15:sqref>
                  </c15:fullRef>
                </c:ext>
              </c:extLst>
              <c:f>BiggestContrFoodBy12months!$Q$5:$Q$16</c:f>
              <c:strCache>
                <c:ptCount val="12"/>
                <c:pt idx="0">
                  <c:v>Average of Egg</c:v>
                </c:pt>
                <c:pt idx="1">
                  <c:v>Average of Fruits</c:v>
                </c:pt>
                <c:pt idx="2">
                  <c:v>Average of Vegetables</c:v>
                </c:pt>
                <c:pt idx="3">
                  <c:v>Average of Vegetables</c:v>
                </c:pt>
                <c:pt idx="4">
                  <c:v>Average of Vegetables</c:v>
                </c:pt>
                <c:pt idx="5">
                  <c:v>Average of Egg</c:v>
                </c:pt>
                <c:pt idx="6">
                  <c:v>Average of Egg</c:v>
                </c:pt>
                <c:pt idx="7">
                  <c:v>Average of Egg</c:v>
                </c:pt>
                <c:pt idx="8">
                  <c:v>Average of Fruits</c:v>
                </c:pt>
                <c:pt idx="9">
                  <c:v>Average of Vegetables</c:v>
                </c:pt>
                <c:pt idx="10">
                  <c:v>Average of Fruits</c:v>
                </c:pt>
                <c:pt idx="11">
                  <c:v>Average of Vegetables</c:v>
                </c:pt>
              </c:strCache>
            </c:strRef>
          </c:cat>
          <c:val>
            <c:numRef>
              <c:extLst>
                <c:ext xmlns:c15="http://schemas.microsoft.com/office/drawing/2012/chart" uri="{02D57815-91ED-43cb-92C2-25804820EDAC}">
                  <c15:fullRef>
                    <c15:sqref>BiggestContrFoodBy12months!$P$4:$P$16</c15:sqref>
                  </c15:fullRef>
                </c:ext>
              </c:extLst>
              <c:f>BiggestContrFoodBy12months!$P$5:$P$16</c:f>
              <c:numCache>
                <c:formatCode>0.0</c:formatCode>
                <c:ptCount val="12"/>
                <c:pt idx="0">
                  <c:v>8.4333333333333655</c:v>
                </c:pt>
                <c:pt idx="1">
                  <c:v>4.5666666666666629</c:v>
                </c:pt>
                <c:pt idx="2">
                  <c:v>4.5666666666666629</c:v>
                </c:pt>
                <c:pt idx="3">
                  <c:v>5.5333333333333314</c:v>
                </c:pt>
                <c:pt idx="4">
                  <c:v>7.8666666666666458</c:v>
                </c:pt>
                <c:pt idx="5">
                  <c:v>10.566666666666663</c:v>
                </c:pt>
                <c:pt idx="6">
                  <c:v>8.8000000000000114</c:v>
                </c:pt>
                <c:pt idx="7">
                  <c:v>4.3999999999999773</c:v>
                </c:pt>
                <c:pt idx="8">
                  <c:v>11.23333333333332</c:v>
                </c:pt>
                <c:pt idx="9">
                  <c:v>6.6666666666662877E-2</c:v>
                </c:pt>
                <c:pt idx="10">
                  <c:v>6.8000000000000114</c:v>
                </c:pt>
                <c:pt idx="11">
                  <c:v>5.5333333333333314</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F-DB1C-48F1-A002-353529C7BC34}"/>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[India_CPI_Inflation_Case_Study.xlsx]Covid-19_pandemic!PivotTable5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baseline="0">
                <a:effectLst/>
              </a:rPr>
              <a:t>Covid-19 Pandemic Affected Series</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'Covid-19_pandemic'!$B$3</c:f>
              <c:strCache>
                <c:ptCount val="1"/>
                <c:pt idx="0">
                  <c:v>Average of Inflation Rate</c:v>
                </c:pt>
              </c:strCache>
            </c:strRef>
          </c:tx>
          <c:spPr>
            <a:ln w="28575" cap="rnd">
              <a:solidFill>
                <a:schemeClr val="accent1"/>
              </a:solidFill>
              <a:round/>
            </a:ln>
            <a:effectLst/>
          </c:spPr>
          <c:marker>
            <c:symbol val="none"/>
          </c:marker>
          <c:cat>
            <c:strRef>
              <c:f>'Covid-19_pandemic'!$A$4:$A$28</c:f>
              <c:strCache>
                <c:ptCount val="25"/>
                <c:pt idx="0">
                  <c:v>01-02-2019</c:v>
                </c:pt>
                <c:pt idx="1">
                  <c:v>01-03-2019</c:v>
                </c:pt>
                <c:pt idx="2">
                  <c:v>01-05-2019</c:v>
                </c:pt>
                <c:pt idx="3">
                  <c:v>01-06-2019</c:v>
                </c:pt>
                <c:pt idx="4">
                  <c:v>01-07-2019</c:v>
                </c:pt>
                <c:pt idx="5">
                  <c:v>01-08-2019</c:v>
                </c:pt>
                <c:pt idx="6">
                  <c:v>01-09-2019</c:v>
                </c:pt>
                <c:pt idx="7">
                  <c:v>01-10-2019</c:v>
                </c:pt>
                <c:pt idx="8">
                  <c:v>01-11-2019</c:v>
                </c:pt>
                <c:pt idx="9">
                  <c:v>01-12-2019</c:v>
                </c:pt>
                <c:pt idx="10">
                  <c:v>01-01-2020</c:v>
                </c:pt>
                <c:pt idx="11">
                  <c:v>01-02-2020</c:v>
                </c:pt>
                <c:pt idx="12">
                  <c:v>01-03-2020</c:v>
                </c:pt>
                <c:pt idx="13">
                  <c:v>01-06-2020</c:v>
                </c:pt>
                <c:pt idx="14">
                  <c:v>01-07-2020</c:v>
                </c:pt>
                <c:pt idx="15">
                  <c:v>01-08-2020</c:v>
                </c:pt>
                <c:pt idx="16">
                  <c:v>01-09-2020</c:v>
                </c:pt>
                <c:pt idx="17">
                  <c:v>01-10-2020</c:v>
                </c:pt>
                <c:pt idx="18">
                  <c:v>01-11-2020</c:v>
                </c:pt>
                <c:pt idx="19">
                  <c:v>01-12-2020</c:v>
                </c:pt>
                <c:pt idx="20">
                  <c:v>01-01-2021</c:v>
                </c:pt>
                <c:pt idx="21">
                  <c:v>01-02-2021</c:v>
                </c:pt>
                <c:pt idx="22">
                  <c:v>01-03-2021</c:v>
                </c:pt>
                <c:pt idx="23">
                  <c:v>01-04-2021</c:v>
                </c:pt>
                <c:pt idx="24">
                  <c:v>01-05-2021</c:v>
                </c:pt>
              </c:strCache>
            </c:strRef>
          </c:cat>
          <c:val>
            <c:numRef>
              <c:f>'Covid-19_pandemic'!$B$4:$B$28</c:f>
              <c:numCache>
                <c:formatCode>0.0</c:formatCode>
                <c:ptCount val="25"/>
                <c:pt idx="0">
                  <c:v>202.4157142857143</c:v>
                </c:pt>
                <c:pt idx="1">
                  <c:v>203.09428571428575</c:v>
                </c:pt>
                <c:pt idx="2">
                  <c:v>205.66571428571424</c:v>
                </c:pt>
                <c:pt idx="3">
                  <c:v>207.45857142857139</c:v>
                </c:pt>
                <c:pt idx="4">
                  <c:v>209.40976190476189</c:v>
                </c:pt>
                <c:pt idx="5">
                  <c:v>210.38119047619045</c:v>
                </c:pt>
                <c:pt idx="6">
                  <c:v>211.36928571428567</c:v>
                </c:pt>
                <c:pt idx="7">
                  <c:v>213.63833333333324</c:v>
                </c:pt>
                <c:pt idx="8">
                  <c:v>215.71452380952383</c:v>
                </c:pt>
                <c:pt idx="9">
                  <c:v>218.58952380952383</c:v>
                </c:pt>
                <c:pt idx="10">
                  <c:v>218.46095238095236</c:v>
                </c:pt>
                <c:pt idx="11">
                  <c:v>216.65261904761897</c:v>
                </c:pt>
                <c:pt idx="12">
                  <c:v>215.71809523809523</c:v>
                </c:pt>
                <c:pt idx="13">
                  <c:v>222.80738095238095</c:v>
                </c:pt>
                <c:pt idx="14">
                  <c:v>222.80738095238095</c:v>
                </c:pt>
                <c:pt idx="15">
                  <c:v>225.31809523809522</c:v>
                </c:pt>
                <c:pt idx="16">
                  <c:v>226.66928571428571</c:v>
                </c:pt>
                <c:pt idx="17">
                  <c:v>229.7692857142857</c:v>
                </c:pt>
                <c:pt idx="18">
                  <c:v>233.3942857142857</c:v>
                </c:pt>
                <c:pt idx="19">
                  <c:v>234.57047619047614</c:v>
                </c:pt>
                <c:pt idx="20">
                  <c:v>232.63714285714286</c:v>
                </c:pt>
                <c:pt idx="21">
                  <c:v>230.84309523809529</c:v>
                </c:pt>
                <c:pt idx="22">
                  <c:v>231.08</c:v>
                </c:pt>
                <c:pt idx="23">
                  <c:v>233.21333333333337</c:v>
                </c:pt>
                <c:pt idx="24">
                  <c:v>237.51928571428576</c:v>
                </c:pt>
              </c:numCache>
            </c:numRef>
          </c:val>
          <c:smooth val="0"/>
          <c:extLst>
            <c:ext xmlns:c16="http://schemas.microsoft.com/office/drawing/2014/chart" uri="{C3380CC4-5D6E-409C-BE32-E72D297353CC}">
              <c16:uniqueId val="{00000000-1D4F-4CCE-820D-5E3B31F31A4B}"/>
            </c:ext>
          </c:extLst>
        </c:ser>
        <c:ser>
          <c:idx val="1"/>
          <c:order val="1"/>
          <c:tx>
            <c:strRef>
              <c:f>'Covid-19_pandemic'!$C$3</c:f>
              <c:strCache>
                <c:ptCount val="1"/>
                <c:pt idx="0">
                  <c:v>Average of Food</c:v>
                </c:pt>
              </c:strCache>
            </c:strRef>
          </c:tx>
          <c:spPr>
            <a:ln w="28575" cap="rnd">
              <a:solidFill>
                <a:schemeClr val="accent2"/>
              </a:solidFill>
              <a:round/>
            </a:ln>
            <a:effectLst/>
          </c:spPr>
          <c:marker>
            <c:symbol val="none"/>
          </c:marker>
          <c:cat>
            <c:strRef>
              <c:f>'Covid-19_pandemic'!$A$4:$A$28</c:f>
              <c:strCache>
                <c:ptCount val="25"/>
                <c:pt idx="0">
                  <c:v>01-02-2019</c:v>
                </c:pt>
                <c:pt idx="1">
                  <c:v>01-03-2019</c:v>
                </c:pt>
                <c:pt idx="2">
                  <c:v>01-05-2019</c:v>
                </c:pt>
                <c:pt idx="3">
                  <c:v>01-06-2019</c:v>
                </c:pt>
                <c:pt idx="4">
                  <c:v>01-07-2019</c:v>
                </c:pt>
                <c:pt idx="5">
                  <c:v>01-08-2019</c:v>
                </c:pt>
                <c:pt idx="6">
                  <c:v>01-09-2019</c:v>
                </c:pt>
                <c:pt idx="7">
                  <c:v>01-10-2019</c:v>
                </c:pt>
                <c:pt idx="8">
                  <c:v>01-11-2019</c:v>
                </c:pt>
                <c:pt idx="9">
                  <c:v>01-12-2019</c:v>
                </c:pt>
                <c:pt idx="10">
                  <c:v>01-01-2020</c:v>
                </c:pt>
                <c:pt idx="11">
                  <c:v>01-02-2020</c:v>
                </c:pt>
                <c:pt idx="12">
                  <c:v>01-03-2020</c:v>
                </c:pt>
                <c:pt idx="13">
                  <c:v>01-06-2020</c:v>
                </c:pt>
                <c:pt idx="14">
                  <c:v>01-07-2020</c:v>
                </c:pt>
                <c:pt idx="15">
                  <c:v>01-08-2020</c:v>
                </c:pt>
                <c:pt idx="16">
                  <c:v>01-09-2020</c:v>
                </c:pt>
                <c:pt idx="17">
                  <c:v>01-10-2020</c:v>
                </c:pt>
                <c:pt idx="18">
                  <c:v>01-11-2020</c:v>
                </c:pt>
                <c:pt idx="19">
                  <c:v>01-12-2020</c:v>
                </c:pt>
                <c:pt idx="20">
                  <c:v>01-01-2021</c:v>
                </c:pt>
                <c:pt idx="21">
                  <c:v>01-02-2021</c:v>
                </c:pt>
                <c:pt idx="22">
                  <c:v>01-03-2021</c:v>
                </c:pt>
                <c:pt idx="23">
                  <c:v>01-04-2021</c:v>
                </c:pt>
                <c:pt idx="24">
                  <c:v>01-05-2021</c:v>
                </c:pt>
              </c:strCache>
            </c:strRef>
          </c:cat>
          <c:val>
            <c:numRef>
              <c:f>'Covid-19_pandemic'!$C$4:$C$28</c:f>
              <c:numCache>
                <c:formatCode>0.0</c:formatCode>
                <c:ptCount val="25"/>
                <c:pt idx="0">
                  <c:v>1920.8000000000002</c:v>
                </c:pt>
                <c:pt idx="1">
                  <c:v>1928.0666666666668</c:v>
                </c:pt>
                <c:pt idx="2">
                  <c:v>1959.7</c:v>
                </c:pt>
                <c:pt idx="3">
                  <c:v>1982.4666666666665</c:v>
                </c:pt>
                <c:pt idx="4">
                  <c:v>2006.2333333333333</c:v>
                </c:pt>
                <c:pt idx="5">
                  <c:v>2016.3000000000002</c:v>
                </c:pt>
                <c:pt idx="6">
                  <c:v>2027.3666666666668</c:v>
                </c:pt>
                <c:pt idx="7">
                  <c:v>2055.9333333333334</c:v>
                </c:pt>
                <c:pt idx="8">
                  <c:v>2081.5</c:v>
                </c:pt>
                <c:pt idx="9">
                  <c:v>2116.8333333333335</c:v>
                </c:pt>
                <c:pt idx="10">
                  <c:v>2110.9999999999995</c:v>
                </c:pt>
                <c:pt idx="11">
                  <c:v>2083.1666666666665</c:v>
                </c:pt>
                <c:pt idx="12">
                  <c:v>2067.833333333333</c:v>
                </c:pt>
                <c:pt idx="13">
                  <c:v>2155.1333333333332</c:v>
                </c:pt>
                <c:pt idx="14">
                  <c:v>2155.1333333333332</c:v>
                </c:pt>
                <c:pt idx="15">
                  <c:v>2183.1333333333332</c:v>
                </c:pt>
                <c:pt idx="16">
                  <c:v>2197.3333333333335</c:v>
                </c:pt>
                <c:pt idx="17">
                  <c:v>2238.4666666666667</c:v>
                </c:pt>
                <c:pt idx="18">
                  <c:v>2285.2333333333331</c:v>
                </c:pt>
                <c:pt idx="19">
                  <c:v>2298.0666666666671</c:v>
                </c:pt>
                <c:pt idx="20">
                  <c:v>2267.3666666666668</c:v>
                </c:pt>
                <c:pt idx="21">
                  <c:v>2232.9</c:v>
                </c:pt>
                <c:pt idx="22">
                  <c:v>2232.4333333333334</c:v>
                </c:pt>
                <c:pt idx="23">
                  <c:v>2257.7333333333331</c:v>
                </c:pt>
                <c:pt idx="24">
                  <c:v>2301.7999999999997</c:v>
                </c:pt>
              </c:numCache>
            </c:numRef>
          </c:val>
          <c:smooth val="0"/>
          <c:extLst>
            <c:ext xmlns:c16="http://schemas.microsoft.com/office/drawing/2014/chart" uri="{C3380CC4-5D6E-409C-BE32-E72D297353CC}">
              <c16:uniqueId val="{00000001-1D4F-4CCE-820D-5E3B31F31A4B}"/>
            </c:ext>
          </c:extLst>
        </c:ser>
        <c:ser>
          <c:idx val="2"/>
          <c:order val="2"/>
          <c:tx>
            <c:strRef>
              <c:f>'Covid-19_pandemic'!$D$3</c:f>
              <c:strCache>
                <c:ptCount val="1"/>
                <c:pt idx="0">
                  <c:v>Average of Health</c:v>
                </c:pt>
              </c:strCache>
            </c:strRef>
          </c:tx>
          <c:spPr>
            <a:ln w="28575" cap="rnd">
              <a:solidFill>
                <a:schemeClr val="accent3"/>
              </a:solidFill>
              <a:round/>
            </a:ln>
            <a:effectLst/>
          </c:spPr>
          <c:marker>
            <c:symbol val="none"/>
          </c:marker>
          <c:cat>
            <c:strRef>
              <c:f>'Covid-19_pandemic'!$A$4:$A$28</c:f>
              <c:strCache>
                <c:ptCount val="25"/>
                <c:pt idx="0">
                  <c:v>01-02-2019</c:v>
                </c:pt>
                <c:pt idx="1">
                  <c:v>01-03-2019</c:v>
                </c:pt>
                <c:pt idx="2">
                  <c:v>01-05-2019</c:v>
                </c:pt>
                <c:pt idx="3">
                  <c:v>01-06-2019</c:v>
                </c:pt>
                <c:pt idx="4">
                  <c:v>01-07-2019</c:v>
                </c:pt>
                <c:pt idx="5">
                  <c:v>01-08-2019</c:v>
                </c:pt>
                <c:pt idx="6">
                  <c:v>01-09-2019</c:v>
                </c:pt>
                <c:pt idx="7">
                  <c:v>01-10-2019</c:v>
                </c:pt>
                <c:pt idx="8">
                  <c:v>01-11-2019</c:v>
                </c:pt>
                <c:pt idx="9">
                  <c:v>01-12-2019</c:v>
                </c:pt>
                <c:pt idx="10">
                  <c:v>01-01-2020</c:v>
                </c:pt>
                <c:pt idx="11">
                  <c:v>01-02-2020</c:v>
                </c:pt>
                <c:pt idx="12">
                  <c:v>01-03-2020</c:v>
                </c:pt>
                <c:pt idx="13">
                  <c:v>01-06-2020</c:v>
                </c:pt>
                <c:pt idx="14">
                  <c:v>01-07-2020</c:v>
                </c:pt>
                <c:pt idx="15">
                  <c:v>01-08-2020</c:v>
                </c:pt>
                <c:pt idx="16">
                  <c:v>01-09-2020</c:v>
                </c:pt>
                <c:pt idx="17">
                  <c:v>01-10-2020</c:v>
                </c:pt>
                <c:pt idx="18">
                  <c:v>01-11-2020</c:v>
                </c:pt>
                <c:pt idx="19">
                  <c:v>01-12-2020</c:v>
                </c:pt>
                <c:pt idx="20">
                  <c:v>01-01-2021</c:v>
                </c:pt>
                <c:pt idx="21">
                  <c:v>01-02-2021</c:v>
                </c:pt>
                <c:pt idx="22">
                  <c:v>01-03-2021</c:v>
                </c:pt>
                <c:pt idx="23">
                  <c:v>01-04-2021</c:v>
                </c:pt>
                <c:pt idx="24">
                  <c:v>01-05-2021</c:v>
                </c:pt>
              </c:strCache>
            </c:strRef>
          </c:cat>
          <c:val>
            <c:numRef>
              <c:f>'Covid-19_pandemic'!$D$4:$D$28</c:f>
              <c:numCache>
                <c:formatCode>0.0</c:formatCode>
                <c:ptCount val="25"/>
                <c:pt idx="0">
                  <c:v>144.66666666666666</c:v>
                </c:pt>
                <c:pt idx="1">
                  <c:v>145.26666666666665</c:v>
                </c:pt>
                <c:pt idx="2">
                  <c:v>146.00000000000003</c:v>
                </c:pt>
                <c:pt idx="3">
                  <c:v>146.46666666666667</c:v>
                </c:pt>
                <c:pt idx="4">
                  <c:v>146.96666666666667</c:v>
                </c:pt>
                <c:pt idx="5">
                  <c:v>147.56666666666666</c:v>
                </c:pt>
                <c:pt idx="6">
                  <c:v>148.1</c:v>
                </c:pt>
                <c:pt idx="7">
                  <c:v>148.5</c:v>
                </c:pt>
                <c:pt idx="8">
                  <c:v>149.00000000000003</c:v>
                </c:pt>
                <c:pt idx="9">
                  <c:v>149.46666666666667</c:v>
                </c:pt>
                <c:pt idx="10">
                  <c:v>150.23333333333332</c:v>
                </c:pt>
                <c:pt idx="11">
                  <c:v>150.76666666666668</c:v>
                </c:pt>
                <c:pt idx="12">
                  <c:v>151.33333333333334</c:v>
                </c:pt>
                <c:pt idx="13">
                  <c:v>153.56666666666666</c:v>
                </c:pt>
                <c:pt idx="14">
                  <c:v>153.56666666666666</c:v>
                </c:pt>
                <c:pt idx="15">
                  <c:v>154.16666666666666</c:v>
                </c:pt>
                <c:pt idx="16">
                  <c:v>154.9</c:v>
                </c:pt>
                <c:pt idx="17">
                  <c:v>155.6</c:v>
                </c:pt>
                <c:pt idx="18">
                  <c:v>156.53333333333333</c:v>
                </c:pt>
                <c:pt idx="19">
                  <c:v>157.60000000000002</c:v>
                </c:pt>
                <c:pt idx="20">
                  <c:v>158.63333333333333</c:v>
                </c:pt>
                <c:pt idx="21">
                  <c:v>160.63333333333335</c:v>
                </c:pt>
                <c:pt idx="22">
                  <c:v>161.06666666666669</c:v>
                </c:pt>
                <c:pt idx="23">
                  <c:v>161.70000000000002</c:v>
                </c:pt>
                <c:pt idx="24">
                  <c:v>165.10000000000002</c:v>
                </c:pt>
              </c:numCache>
            </c:numRef>
          </c:val>
          <c:smooth val="0"/>
          <c:extLst>
            <c:ext xmlns:c16="http://schemas.microsoft.com/office/drawing/2014/chart" uri="{C3380CC4-5D6E-409C-BE32-E72D297353CC}">
              <c16:uniqueId val="{00000002-1D4F-4CCE-820D-5E3B31F31A4B}"/>
            </c:ext>
          </c:extLst>
        </c:ser>
        <c:ser>
          <c:idx val="3"/>
          <c:order val="3"/>
          <c:tx>
            <c:strRef>
              <c:f>'Covid-19_pandemic'!$E$3</c:f>
              <c:strCache>
                <c:ptCount val="1"/>
                <c:pt idx="0">
                  <c:v>Average of Clothing</c:v>
                </c:pt>
              </c:strCache>
            </c:strRef>
          </c:tx>
          <c:spPr>
            <a:ln w="28575" cap="rnd">
              <a:solidFill>
                <a:schemeClr val="accent4"/>
              </a:solidFill>
              <a:round/>
            </a:ln>
            <a:effectLst/>
          </c:spPr>
          <c:marker>
            <c:symbol val="none"/>
          </c:marker>
          <c:cat>
            <c:strRef>
              <c:f>'Covid-19_pandemic'!$A$4:$A$28</c:f>
              <c:strCache>
                <c:ptCount val="25"/>
                <c:pt idx="0">
                  <c:v>01-02-2019</c:v>
                </c:pt>
                <c:pt idx="1">
                  <c:v>01-03-2019</c:v>
                </c:pt>
                <c:pt idx="2">
                  <c:v>01-05-2019</c:v>
                </c:pt>
                <c:pt idx="3">
                  <c:v>01-06-2019</c:v>
                </c:pt>
                <c:pt idx="4">
                  <c:v>01-07-2019</c:v>
                </c:pt>
                <c:pt idx="5">
                  <c:v>01-08-2019</c:v>
                </c:pt>
                <c:pt idx="6">
                  <c:v>01-09-2019</c:v>
                </c:pt>
                <c:pt idx="7">
                  <c:v>01-10-2019</c:v>
                </c:pt>
                <c:pt idx="8">
                  <c:v>01-11-2019</c:v>
                </c:pt>
                <c:pt idx="9">
                  <c:v>01-12-2019</c:v>
                </c:pt>
                <c:pt idx="10">
                  <c:v>01-01-2020</c:v>
                </c:pt>
                <c:pt idx="11">
                  <c:v>01-02-2020</c:v>
                </c:pt>
                <c:pt idx="12">
                  <c:v>01-03-2020</c:v>
                </c:pt>
                <c:pt idx="13">
                  <c:v>01-06-2020</c:v>
                </c:pt>
                <c:pt idx="14">
                  <c:v>01-07-2020</c:v>
                </c:pt>
                <c:pt idx="15">
                  <c:v>01-08-2020</c:v>
                </c:pt>
                <c:pt idx="16">
                  <c:v>01-09-2020</c:v>
                </c:pt>
                <c:pt idx="17">
                  <c:v>01-10-2020</c:v>
                </c:pt>
                <c:pt idx="18">
                  <c:v>01-11-2020</c:v>
                </c:pt>
                <c:pt idx="19">
                  <c:v>01-12-2020</c:v>
                </c:pt>
                <c:pt idx="20">
                  <c:v>01-01-2021</c:v>
                </c:pt>
                <c:pt idx="21">
                  <c:v>01-02-2021</c:v>
                </c:pt>
                <c:pt idx="22">
                  <c:v>01-03-2021</c:v>
                </c:pt>
                <c:pt idx="23">
                  <c:v>01-04-2021</c:v>
                </c:pt>
                <c:pt idx="24">
                  <c:v>01-05-2021</c:v>
                </c:pt>
              </c:strCache>
            </c:strRef>
          </c:cat>
          <c:val>
            <c:numRef>
              <c:f>'Covid-19_pandemic'!$E$4:$E$28</c:f>
              <c:numCache>
                <c:formatCode>0.0</c:formatCode>
                <c:ptCount val="25"/>
                <c:pt idx="0">
                  <c:v>147.16666666666666</c:v>
                </c:pt>
                <c:pt idx="1">
                  <c:v>147.4</c:v>
                </c:pt>
                <c:pt idx="2">
                  <c:v>147.9</c:v>
                </c:pt>
                <c:pt idx="3">
                  <c:v>148.1</c:v>
                </c:pt>
                <c:pt idx="4">
                  <c:v>148.4</c:v>
                </c:pt>
                <c:pt idx="5">
                  <c:v>148.63333333333335</c:v>
                </c:pt>
                <c:pt idx="6">
                  <c:v>148.73333333333332</c:v>
                </c:pt>
                <c:pt idx="7">
                  <c:v>149</c:v>
                </c:pt>
                <c:pt idx="8">
                  <c:v>149.50000000000003</c:v>
                </c:pt>
                <c:pt idx="9">
                  <c:v>149.9</c:v>
                </c:pt>
                <c:pt idx="10">
                  <c:v>150.1</c:v>
                </c:pt>
                <c:pt idx="11">
                  <c:v>150.36666666666667</c:v>
                </c:pt>
                <c:pt idx="12">
                  <c:v>150.76666666666665</c:v>
                </c:pt>
                <c:pt idx="13">
                  <c:v>152.1</c:v>
                </c:pt>
                <c:pt idx="14">
                  <c:v>152.1</c:v>
                </c:pt>
                <c:pt idx="15">
                  <c:v>152.73333333333335</c:v>
                </c:pt>
                <c:pt idx="16">
                  <c:v>153</c:v>
                </c:pt>
                <c:pt idx="17">
                  <c:v>153.29999999999998</c:v>
                </c:pt>
                <c:pt idx="18">
                  <c:v>153.9</c:v>
                </c:pt>
                <c:pt idx="19">
                  <c:v>154.63333333333333</c:v>
                </c:pt>
                <c:pt idx="20">
                  <c:v>155.16666666666666</c:v>
                </c:pt>
                <c:pt idx="21">
                  <c:v>156.83333333333334</c:v>
                </c:pt>
                <c:pt idx="22">
                  <c:v>157.5</c:v>
                </c:pt>
                <c:pt idx="23">
                  <c:v>158.46666666666667</c:v>
                </c:pt>
                <c:pt idx="24">
                  <c:v>161.20000000000002</c:v>
                </c:pt>
              </c:numCache>
            </c:numRef>
          </c:val>
          <c:smooth val="0"/>
          <c:extLst>
            <c:ext xmlns:c16="http://schemas.microsoft.com/office/drawing/2014/chart" uri="{C3380CC4-5D6E-409C-BE32-E72D297353CC}">
              <c16:uniqueId val="{00000003-1D4F-4CCE-820D-5E3B31F31A4B}"/>
            </c:ext>
          </c:extLst>
        </c:ser>
        <c:ser>
          <c:idx val="4"/>
          <c:order val="4"/>
          <c:tx>
            <c:strRef>
              <c:f>'Covid-19_pandemic'!$F$3</c:f>
              <c:strCache>
                <c:ptCount val="1"/>
                <c:pt idx="0">
                  <c:v>Average of Footwear</c:v>
                </c:pt>
              </c:strCache>
            </c:strRef>
          </c:tx>
          <c:spPr>
            <a:ln w="28575" cap="rnd">
              <a:solidFill>
                <a:schemeClr val="accent5"/>
              </a:solidFill>
              <a:round/>
            </a:ln>
            <a:effectLst/>
          </c:spPr>
          <c:marker>
            <c:symbol val="none"/>
          </c:marker>
          <c:cat>
            <c:strRef>
              <c:f>'Covid-19_pandemic'!$A$4:$A$28</c:f>
              <c:strCache>
                <c:ptCount val="25"/>
                <c:pt idx="0">
                  <c:v>01-02-2019</c:v>
                </c:pt>
                <c:pt idx="1">
                  <c:v>01-03-2019</c:v>
                </c:pt>
                <c:pt idx="2">
                  <c:v>01-05-2019</c:v>
                </c:pt>
                <c:pt idx="3">
                  <c:v>01-06-2019</c:v>
                </c:pt>
                <c:pt idx="4">
                  <c:v>01-07-2019</c:v>
                </c:pt>
                <c:pt idx="5">
                  <c:v>01-08-2019</c:v>
                </c:pt>
                <c:pt idx="6">
                  <c:v>01-09-2019</c:v>
                </c:pt>
                <c:pt idx="7">
                  <c:v>01-10-2019</c:v>
                </c:pt>
                <c:pt idx="8">
                  <c:v>01-11-2019</c:v>
                </c:pt>
                <c:pt idx="9">
                  <c:v>01-12-2019</c:v>
                </c:pt>
                <c:pt idx="10">
                  <c:v>01-01-2020</c:v>
                </c:pt>
                <c:pt idx="11">
                  <c:v>01-02-2020</c:v>
                </c:pt>
                <c:pt idx="12">
                  <c:v>01-03-2020</c:v>
                </c:pt>
                <c:pt idx="13">
                  <c:v>01-06-2020</c:v>
                </c:pt>
                <c:pt idx="14">
                  <c:v>01-07-2020</c:v>
                </c:pt>
                <c:pt idx="15">
                  <c:v>01-08-2020</c:v>
                </c:pt>
                <c:pt idx="16">
                  <c:v>01-09-2020</c:v>
                </c:pt>
                <c:pt idx="17">
                  <c:v>01-10-2020</c:v>
                </c:pt>
                <c:pt idx="18">
                  <c:v>01-11-2020</c:v>
                </c:pt>
                <c:pt idx="19">
                  <c:v>01-12-2020</c:v>
                </c:pt>
                <c:pt idx="20">
                  <c:v>01-01-2021</c:v>
                </c:pt>
                <c:pt idx="21">
                  <c:v>01-02-2021</c:v>
                </c:pt>
                <c:pt idx="22">
                  <c:v>01-03-2021</c:v>
                </c:pt>
                <c:pt idx="23">
                  <c:v>01-04-2021</c:v>
                </c:pt>
                <c:pt idx="24">
                  <c:v>01-05-2021</c:v>
                </c:pt>
              </c:strCache>
            </c:strRef>
          </c:cat>
          <c:val>
            <c:numRef>
              <c:f>'Covid-19_pandemic'!$F$4:$F$28</c:f>
              <c:numCache>
                <c:formatCode>0.0</c:formatCode>
                <c:ptCount val="25"/>
                <c:pt idx="0">
                  <c:v>138.86666666666667</c:v>
                </c:pt>
                <c:pt idx="1">
                  <c:v>139.06666666666669</c:v>
                </c:pt>
                <c:pt idx="2">
                  <c:v>139.56666666666669</c:v>
                </c:pt>
                <c:pt idx="3">
                  <c:v>139.53333333333333</c:v>
                </c:pt>
                <c:pt idx="4">
                  <c:v>139.66666666666666</c:v>
                </c:pt>
                <c:pt idx="5">
                  <c:v>139.79999999999998</c:v>
                </c:pt>
                <c:pt idx="6">
                  <c:v>139.79999999999998</c:v>
                </c:pt>
                <c:pt idx="7">
                  <c:v>139.96666666666667</c:v>
                </c:pt>
                <c:pt idx="8">
                  <c:v>140.20000000000002</c:v>
                </c:pt>
                <c:pt idx="9">
                  <c:v>140.46666666666667</c:v>
                </c:pt>
                <c:pt idx="10">
                  <c:v>140.70000000000002</c:v>
                </c:pt>
                <c:pt idx="11">
                  <c:v>140.9</c:v>
                </c:pt>
                <c:pt idx="12">
                  <c:v>141.10000000000002</c:v>
                </c:pt>
                <c:pt idx="13">
                  <c:v>143.66666666666666</c:v>
                </c:pt>
                <c:pt idx="14">
                  <c:v>143.66666666666666</c:v>
                </c:pt>
                <c:pt idx="15">
                  <c:v>142.63333333333335</c:v>
                </c:pt>
                <c:pt idx="16">
                  <c:v>143.5</c:v>
                </c:pt>
                <c:pt idx="17">
                  <c:v>143.76666666666665</c:v>
                </c:pt>
                <c:pt idx="18">
                  <c:v>144.1</c:v>
                </c:pt>
                <c:pt idx="19">
                  <c:v>144.56666666666669</c:v>
                </c:pt>
                <c:pt idx="20">
                  <c:v>145.26666666666665</c:v>
                </c:pt>
                <c:pt idx="21">
                  <c:v>146.5</c:v>
                </c:pt>
                <c:pt idx="22">
                  <c:v>147</c:v>
                </c:pt>
                <c:pt idx="23">
                  <c:v>147.63333333333333</c:v>
                </c:pt>
                <c:pt idx="24">
                  <c:v>150.96666666666667</c:v>
                </c:pt>
              </c:numCache>
            </c:numRef>
          </c:val>
          <c:smooth val="0"/>
          <c:extLst>
            <c:ext xmlns:c16="http://schemas.microsoft.com/office/drawing/2014/chart" uri="{C3380CC4-5D6E-409C-BE32-E72D297353CC}">
              <c16:uniqueId val="{00000004-1D4F-4CCE-820D-5E3B31F31A4B}"/>
            </c:ext>
          </c:extLst>
        </c:ser>
        <c:ser>
          <c:idx val="5"/>
          <c:order val="5"/>
          <c:tx>
            <c:strRef>
              <c:f>'Covid-19_pandemic'!$G$3</c:f>
              <c:strCache>
                <c:ptCount val="1"/>
                <c:pt idx="0">
                  <c:v>Average of Housing</c:v>
                </c:pt>
              </c:strCache>
            </c:strRef>
          </c:tx>
          <c:spPr>
            <a:ln w="28575" cap="rnd">
              <a:solidFill>
                <a:schemeClr val="accent6"/>
              </a:solidFill>
              <a:round/>
            </a:ln>
            <a:effectLst/>
          </c:spPr>
          <c:marker>
            <c:symbol val="none"/>
          </c:marker>
          <c:cat>
            <c:strRef>
              <c:f>'Covid-19_pandemic'!$A$4:$A$28</c:f>
              <c:strCache>
                <c:ptCount val="25"/>
                <c:pt idx="0">
                  <c:v>01-02-2019</c:v>
                </c:pt>
                <c:pt idx="1">
                  <c:v>01-03-2019</c:v>
                </c:pt>
                <c:pt idx="2">
                  <c:v>01-05-2019</c:v>
                </c:pt>
                <c:pt idx="3">
                  <c:v>01-06-2019</c:v>
                </c:pt>
                <c:pt idx="4">
                  <c:v>01-07-2019</c:v>
                </c:pt>
                <c:pt idx="5">
                  <c:v>01-08-2019</c:v>
                </c:pt>
                <c:pt idx="6">
                  <c:v>01-09-2019</c:v>
                </c:pt>
                <c:pt idx="7">
                  <c:v>01-10-2019</c:v>
                </c:pt>
                <c:pt idx="8">
                  <c:v>01-11-2019</c:v>
                </c:pt>
                <c:pt idx="9">
                  <c:v>01-12-2019</c:v>
                </c:pt>
                <c:pt idx="10">
                  <c:v>01-01-2020</c:v>
                </c:pt>
                <c:pt idx="11">
                  <c:v>01-02-2020</c:v>
                </c:pt>
                <c:pt idx="12">
                  <c:v>01-03-2020</c:v>
                </c:pt>
                <c:pt idx="13">
                  <c:v>01-06-2020</c:v>
                </c:pt>
                <c:pt idx="14">
                  <c:v>01-07-2020</c:v>
                </c:pt>
                <c:pt idx="15">
                  <c:v>01-08-2020</c:v>
                </c:pt>
                <c:pt idx="16">
                  <c:v>01-09-2020</c:v>
                </c:pt>
                <c:pt idx="17">
                  <c:v>01-10-2020</c:v>
                </c:pt>
                <c:pt idx="18">
                  <c:v>01-11-2020</c:v>
                </c:pt>
                <c:pt idx="19">
                  <c:v>01-12-2020</c:v>
                </c:pt>
                <c:pt idx="20">
                  <c:v>01-01-2021</c:v>
                </c:pt>
                <c:pt idx="21">
                  <c:v>01-02-2021</c:v>
                </c:pt>
                <c:pt idx="22">
                  <c:v>01-03-2021</c:v>
                </c:pt>
                <c:pt idx="23">
                  <c:v>01-04-2021</c:v>
                </c:pt>
                <c:pt idx="24">
                  <c:v>01-05-2021</c:v>
                </c:pt>
              </c:strCache>
            </c:strRef>
          </c:cat>
          <c:val>
            <c:numRef>
              <c:f>'Covid-19_pandemic'!$G$4:$G$28</c:f>
              <c:numCache>
                <c:formatCode>0.0</c:formatCode>
                <c:ptCount val="25"/>
                <c:pt idx="0">
                  <c:v>145.37333333333333</c:v>
                </c:pt>
                <c:pt idx="1">
                  <c:v>145.70666666666668</c:v>
                </c:pt>
                <c:pt idx="2">
                  <c:v>146.44</c:v>
                </c:pt>
                <c:pt idx="3">
                  <c:v>145.97333333333333</c:v>
                </c:pt>
                <c:pt idx="4">
                  <c:v>146.77333333333334</c:v>
                </c:pt>
                <c:pt idx="5">
                  <c:v>147.44</c:v>
                </c:pt>
                <c:pt idx="6">
                  <c:v>147.84</c:v>
                </c:pt>
                <c:pt idx="7">
                  <c:v>148.37333333333333</c:v>
                </c:pt>
                <c:pt idx="8">
                  <c:v>148.70666666666668</c:v>
                </c:pt>
                <c:pt idx="9">
                  <c:v>148.24</c:v>
                </c:pt>
                <c:pt idx="10">
                  <c:v>148.97333333333333</c:v>
                </c:pt>
                <c:pt idx="11">
                  <c:v>149.57333333333335</c:v>
                </c:pt>
                <c:pt idx="12">
                  <c:v>149.37333333333333</c:v>
                </c:pt>
                <c:pt idx="13">
                  <c:v>149.50666666666666</c:v>
                </c:pt>
                <c:pt idx="14">
                  <c:v>149.50666666666666</c:v>
                </c:pt>
                <c:pt idx="15">
                  <c:v>150.04</c:v>
                </c:pt>
                <c:pt idx="16">
                  <c:v>150.57333333333335</c:v>
                </c:pt>
                <c:pt idx="17">
                  <c:v>150.70666666666668</c:v>
                </c:pt>
                <c:pt idx="18">
                  <c:v>151.70666666666668</c:v>
                </c:pt>
                <c:pt idx="19">
                  <c:v>151.97333333333333</c:v>
                </c:pt>
                <c:pt idx="20">
                  <c:v>151.50666666666666</c:v>
                </c:pt>
                <c:pt idx="21">
                  <c:v>152.90666666666667</c:v>
                </c:pt>
                <c:pt idx="22">
                  <c:v>152.97333333333333</c:v>
                </c:pt>
                <c:pt idx="23">
                  <c:v>153.97333333333333</c:v>
                </c:pt>
                <c:pt idx="24">
                  <c:v>154.10666666666665</c:v>
                </c:pt>
              </c:numCache>
            </c:numRef>
          </c:val>
          <c:smooth val="0"/>
          <c:extLst>
            <c:ext xmlns:c16="http://schemas.microsoft.com/office/drawing/2014/chart" uri="{C3380CC4-5D6E-409C-BE32-E72D297353CC}">
              <c16:uniqueId val="{00000005-1D4F-4CCE-820D-5E3B31F31A4B}"/>
            </c:ext>
          </c:extLst>
        </c:ser>
        <c:ser>
          <c:idx val="6"/>
          <c:order val="6"/>
          <c:tx>
            <c:strRef>
              <c:f>'Covid-19_pandemic'!$H$3</c:f>
              <c:strCache>
                <c:ptCount val="1"/>
                <c:pt idx="0">
                  <c:v>Average of Fuel and light</c:v>
                </c:pt>
              </c:strCache>
            </c:strRef>
          </c:tx>
          <c:spPr>
            <a:ln w="28575" cap="rnd">
              <a:solidFill>
                <a:schemeClr val="accent1">
                  <a:lumMod val="60000"/>
                </a:schemeClr>
              </a:solidFill>
              <a:round/>
            </a:ln>
            <a:effectLst/>
          </c:spPr>
          <c:marker>
            <c:symbol val="none"/>
          </c:marker>
          <c:cat>
            <c:strRef>
              <c:f>'Covid-19_pandemic'!$A$4:$A$28</c:f>
              <c:strCache>
                <c:ptCount val="25"/>
                <c:pt idx="0">
                  <c:v>01-02-2019</c:v>
                </c:pt>
                <c:pt idx="1">
                  <c:v>01-03-2019</c:v>
                </c:pt>
                <c:pt idx="2">
                  <c:v>01-05-2019</c:v>
                </c:pt>
                <c:pt idx="3">
                  <c:v>01-06-2019</c:v>
                </c:pt>
                <c:pt idx="4">
                  <c:v>01-07-2019</c:v>
                </c:pt>
                <c:pt idx="5">
                  <c:v>01-08-2019</c:v>
                </c:pt>
                <c:pt idx="6">
                  <c:v>01-09-2019</c:v>
                </c:pt>
                <c:pt idx="7">
                  <c:v>01-10-2019</c:v>
                </c:pt>
                <c:pt idx="8">
                  <c:v>01-11-2019</c:v>
                </c:pt>
                <c:pt idx="9">
                  <c:v>01-12-2019</c:v>
                </c:pt>
                <c:pt idx="10">
                  <c:v>01-01-2020</c:v>
                </c:pt>
                <c:pt idx="11">
                  <c:v>01-02-2020</c:v>
                </c:pt>
                <c:pt idx="12">
                  <c:v>01-03-2020</c:v>
                </c:pt>
                <c:pt idx="13">
                  <c:v>01-06-2020</c:v>
                </c:pt>
                <c:pt idx="14">
                  <c:v>01-07-2020</c:v>
                </c:pt>
                <c:pt idx="15">
                  <c:v>01-08-2020</c:v>
                </c:pt>
                <c:pt idx="16">
                  <c:v>01-09-2020</c:v>
                </c:pt>
                <c:pt idx="17">
                  <c:v>01-10-2020</c:v>
                </c:pt>
                <c:pt idx="18">
                  <c:v>01-11-2020</c:v>
                </c:pt>
                <c:pt idx="19">
                  <c:v>01-12-2020</c:v>
                </c:pt>
                <c:pt idx="20">
                  <c:v>01-01-2021</c:v>
                </c:pt>
                <c:pt idx="21">
                  <c:v>01-02-2021</c:v>
                </c:pt>
                <c:pt idx="22">
                  <c:v>01-03-2021</c:v>
                </c:pt>
                <c:pt idx="23">
                  <c:v>01-04-2021</c:v>
                </c:pt>
                <c:pt idx="24">
                  <c:v>01-05-2021</c:v>
                </c:pt>
              </c:strCache>
            </c:strRef>
          </c:cat>
          <c:val>
            <c:numRef>
              <c:f>'Covid-19_pandemic'!$H$4:$H$28</c:f>
              <c:numCache>
                <c:formatCode>0.0</c:formatCode>
                <c:ptCount val="25"/>
                <c:pt idx="0">
                  <c:v>136.93333333333334</c:v>
                </c:pt>
                <c:pt idx="1">
                  <c:v>138.29999999999998</c:v>
                </c:pt>
                <c:pt idx="2">
                  <c:v>138.86666666666667</c:v>
                </c:pt>
                <c:pt idx="3">
                  <c:v>139.83333333333334</c:v>
                </c:pt>
                <c:pt idx="4">
                  <c:v>137.70000000000002</c:v>
                </c:pt>
                <c:pt idx="5">
                  <c:v>136.79999999999998</c:v>
                </c:pt>
                <c:pt idx="6">
                  <c:v>137.56666666666663</c:v>
                </c:pt>
                <c:pt idx="7">
                  <c:v>139.06666666666666</c:v>
                </c:pt>
                <c:pt idx="8">
                  <c:v>140.96666666666667</c:v>
                </c:pt>
                <c:pt idx="9">
                  <c:v>142.39999999999998</c:v>
                </c:pt>
                <c:pt idx="10">
                  <c:v>143.36666666666667</c:v>
                </c:pt>
                <c:pt idx="11">
                  <c:v>146.13333333333335</c:v>
                </c:pt>
                <c:pt idx="12">
                  <c:v>147.9</c:v>
                </c:pt>
                <c:pt idx="13">
                  <c:v>141.29999999999998</c:v>
                </c:pt>
                <c:pt idx="14">
                  <c:v>141.29999999999998</c:v>
                </c:pt>
                <c:pt idx="15">
                  <c:v>142.36666666666667</c:v>
                </c:pt>
                <c:pt idx="16">
                  <c:v>142.16666666666666</c:v>
                </c:pt>
                <c:pt idx="17">
                  <c:v>142.33333333333334</c:v>
                </c:pt>
                <c:pt idx="18">
                  <c:v>142.79999999999998</c:v>
                </c:pt>
                <c:pt idx="19">
                  <c:v>143.73333333333332</c:v>
                </c:pt>
                <c:pt idx="20">
                  <c:v>147.23333333333335</c:v>
                </c:pt>
                <c:pt idx="21">
                  <c:v>151.96666666666667</c:v>
                </c:pt>
                <c:pt idx="22">
                  <c:v>155.43333333333334</c:v>
                </c:pt>
                <c:pt idx="23">
                  <c:v>155.5</c:v>
                </c:pt>
                <c:pt idx="24">
                  <c:v>158.86666666666665</c:v>
                </c:pt>
              </c:numCache>
            </c:numRef>
          </c:val>
          <c:smooth val="0"/>
          <c:extLst>
            <c:ext xmlns:c16="http://schemas.microsoft.com/office/drawing/2014/chart" uri="{C3380CC4-5D6E-409C-BE32-E72D297353CC}">
              <c16:uniqueId val="{00000006-1D4F-4CCE-820D-5E3B31F31A4B}"/>
            </c:ext>
          </c:extLst>
        </c:ser>
        <c:ser>
          <c:idx val="7"/>
          <c:order val="7"/>
          <c:tx>
            <c:strRef>
              <c:f>'Covid-19_pandemic'!$I$3</c:f>
              <c:strCache>
                <c:ptCount val="1"/>
                <c:pt idx="0">
                  <c:v>Average of Household goods and services</c:v>
                </c:pt>
              </c:strCache>
            </c:strRef>
          </c:tx>
          <c:spPr>
            <a:ln w="28575" cap="rnd">
              <a:solidFill>
                <a:schemeClr val="accent2">
                  <a:lumMod val="60000"/>
                </a:schemeClr>
              </a:solidFill>
              <a:round/>
            </a:ln>
            <a:effectLst/>
          </c:spPr>
          <c:marker>
            <c:symbol val="none"/>
          </c:marker>
          <c:cat>
            <c:strRef>
              <c:f>'Covid-19_pandemic'!$A$4:$A$28</c:f>
              <c:strCache>
                <c:ptCount val="25"/>
                <c:pt idx="0">
                  <c:v>01-02-2019</c:v>
                </c:pt>
                <c:pt idx="1">
                  <c:v>01-03-2019</c:v>
                </c:pt>
                <c:pt idx="2">
                  <c:v>01-05-2019</c:v>
                </c:pt>
                <c:pt idx="3">
                  <c:v>01-06-2019</c:v>
                </c:pt>
                <c:pt idx="4">
                  <c:v>01-07-2019</c:v>
                </c:pt>
                <c:pt idx="5">
                  <c:v>01-08-2019</c:v>
                </c:pt>
                <c:pt idx="6">
                  <c:v>01-09-2019</c:v>
                </c:pt>
                <c:pt idx="7">
                  <c:v>01-10-2019</c:v>
                </c:pt>
                <c:pt idx="8">
                  <c:v>01-11-2019</c:v>
                </c:pt>
                <c:pt idx="9">
                  <c:v>01-12-2019</c:v>
                </c:pt>
                <c:pt idx="10">
                  <c:v>01-01-2020</c:v>
                </c:pt>
                <c:pt idx="11">
                  <c:v>01-02-2020</c:v>
                </c:pt>
                <c:pt idx="12">
                  <c:v>01-03-2020</c:v>
                </c:pt>
                <c:pt idx="13">
                  <c:v>01-06-2020</c:v>
                </c:pt>
                <c:pt idx="14">
                  <c:v>01-07-2020</c:v>
                </c:pt>
                <c:pt idx="15">
                  <c:v>01-08-2020</c:v>
                </c:pt>
                <c:pt idx="16">
                  <c:v>01-09-2020</c:v>
                </c:pt>
                <c:pt idx="17">
                  <c:v>01-10-2020</c:v>
                </c:pt>
                <c:pt idx="18">
                  <c:v>01-11-2020</c:v>
                </c:pt>
                <c:pt idx="19">
                  <c:v>01-12-2020</c:v>
                </c:pt>
                <c:pt idx="20">
                  <c:v>01-01-2021</c:v>
                </c:pt>
                <c:pt idx="21">
                  <c:v>01-02-2021</c:v>
                </c:pt>
                <c:pt idx="22">
                  <c:v>01-03-2021</c:v>
                </c:pt>
                <c:pt idx="23">
                  <c:v>01-04-2021</c:v>
                </c:pt>
                <c:pt idx="24">
                  <c:v>01-05-2021</c:v>
                </c:pt>
              </c:strCache>
            </c:strRef>
          </c:cat>
          <c:val>
            <c:numRef>
              <c:f>'Covid-19_pandemic'!$I$4:$I$28</c:f>
              <c:numCache>
                <c:formatCode>0.0</c:formatCode>
                <c:ptCount val="25"/>
                <c:pt idx="0">
                  <c:v>143.46666666666667</c:v>
                </c:pt>
                <c:pt idx="1">
                  <c:v>143.53333333333333</c:v>
                </c:pt>
                <c:pt idx="2">
                  <c:v>143.46666666666667</c:v>
                </c:pt>
                <c:pt idx="3">
                  <c:v>143.60000000000002</c:v>
                </c:pt>
                <c:pt idx="4">
                  <c:v>143.96666666666667</c:v>
                </c:pt>
                <c:pt idx="5">
                  <c:v>144.26666666666668</c:v>
                </c:pt>
                <c:pt idx="6">
                  <c:v>144.4</c:v>
                </c:pt>
                <c:pt idx="7">
                  <c:v>144.76666666666665</c:v>
                </c:pt>
                <c:pt idx="8">
                  <c:v>145.1</c:v>
                </c:pt>
                <c:pt idx="9">
                  <c:v>145.6</c:v>
                </c:pt>
                <c:pt idx="10">
                  <c:v>145.99999999999997</c:v>
                </c:pt>
                <c:pt idx="11">
                  <c:v>146.20000000000002</c:v>
                </c:pt>
                <c:pt idx="12">
                  <c:v>146.23333333333335</c:v>
                </c:pt>
                <c:pt idx="13">
                  <c:v>146.16666666666666</c:v>
                </c:pt>
                <c:pt idx="14">
                  <c:v>146.16666666666666</c:v>
                </c:pt>
                <c:pt idx="15">
                  <c:v>148.26666666666665</c:v>
                </c:pt>
                <c:pt idx="16">
                  <c:v>148.56666666666669</c:v>
                </c:pt>
                <c:pt idx="17">
                  <c:v>148.6</c:v>
                </c:pt>
                <c:pt idx="18">
                  <c:v>149.03333333333333</c:v>
                </c:pt>
                <c:pt idx="19">
                  <c:v>149.53333333333333</c:v>
                </c:pt>
                <c:pt idx="20">
                  <c:v>149.86666666666667</c:v>
                </c:pt>
                <c:pt idx="21">
                  <c:v>150.73333333333332</c:v>
                </c:pt>
                <c:pt idx="22">
                  <c:v>151.06666666666666</c:v>
                </c:pt>
                <c:pt idx="23">
                  <c:v>151.63333333333333</c:v>
                </c:pt>
                <c:pt idx="24">
                  <c:v>154.53333333333333</c:v>
                </c:pt>
              </c:numCache>
            </c:numRef>
          </c:val>
          <c:smooth val="0"/>
          <c:extLst>
            <c:ext xmlns:c16="http://schemas.microsoft.com/office/drawing/2014/chart" uri="{C3380CC4-5D6E-409C-BE32-E72D297353CC}">
              <c16:uniqueId val="{00000007-1D4F-4CCE-820D-5E3B31F31A4B}"/>
            </c:ext>
          </c:extLst>
        </c:ser>
        <c:ser>
          <c:idx val="8"/>
          <c:order val="8"/>
          <c:tx>
            <c:strRef>
              <c:f>'Covid-19_pandemic'!$J$3</c:f>
              <c:strCache>
                <c:ptCount val="1"/>
                <c:pt idx="0">
                  <c:v>Average of Transport and communication</c:v>
                </c:pt>
              </c:strCache>
            </c:strRef>
          </c:tx>
          <c:spPr>
            <a:ln w="28575" cap="rnd">
              <a:solidFill>
                <a:schemeClr val="accent3">
                  <a:lumMod val="60000"/>
                </a:schemeClr>
              </a:solidFill>
              <a:round/>
            </a:ln>
            <a:effectLst/>
          </c:spPr>
          <c:marker>
            <c:symbol val="none"/>
          </c:marker>
          <c:cat>
            <c:strRef>
              <c:f>'Covid-19_pandemic'!$A$4:$A$28</c:f>
              <c:strCache>
                <c:ptCount val="25"/>
                <c:pt idx="0">
                  <c:v>01-02-2019</c:v>
                </c:pt>
                <c:pt idx="1">
                  <c:v>01-03-2019</c:v>
                </c:pt>
                <c:pt idx="2">
                  <c:v>01-05-2019</c:v>
                </c:pt>
                <c:pt idx="3">
                  <c:v>01-06-2019</c:v>
                </c:pt>
                <c:pt idx="4">
                  <c:v>01-07-2019</c:v>
                </c:pt>
                <c:pt idx="5">
                  <c:v>01-08-2019</c:v>
                </c:pt>
                <c:pt idx="6">
                  <c:v>01-09-2019</c:v>
                </c:pt>
                <c:pt idx="7">
                  <c:v>01-10-2019</c:v>
                </c:pt>
                <c:pt idx="8">
                  <c:v>01-11-2019</c:v>
                </c:pt>
                <c:pt idx="9">
                  <c:v>01-12-2019</c:v>
                </c:pt>
                <c:pt idx="10">
                  <c:v>01-01-2020</c:v>
                </c:pt>
                <c:pt idx="11">
                  <c:v>01-02-2020</c:v>
                </c:pt>
                <c:pt idx="12">
                  <c:v>01-03-2020</c:v>
                </c:pt>
                <c:pt idx="13">
                  <c:v>01-06-2020</c:v>
                </c:pt>
                <c:pt idx="14">
                  <c:v>01-07-2020</c:v>
                </c:pt>
                <c:pt idx="15">
                  <c:v>01-08-2020</c:v>
                </c:pt>
                <c:pt idx="16">
                  <c:v>01-09-2020</c:v>
                </c:pt>
                <c:pt idx="17">
                  <c:v>01-10-2020</c:v>
                </c:pt>
                <c:pt idx="18">
                  <c:v>01-11-2020</c:v>
                </c:pt>
                <c:pt idx="19">
                  <c:v>01-12-2020</c:v>
                </c:pt>
                <c:pt idx="20">
                  <c:v>01-01-2021</c:v>
                </c:pt>
                <c:pt idx="21">
                  <c:v>01-02-2021</c:v>
                </c:pt>
                <c:pt idx="22">
                  <c:v>01-03-2021</c:v>
                </c:pt>
                <c:pt idx="23">
                  <c:v>01-04-2021</c:v>
                </c:pt>
                <c:pt idx="24">
                  <c:v>01-05-2021</c:v>
                </c:pt>
              </c:strCache>
            </c:strRef>
          </c:cat>
          <c:val>
            <c:numRef>
              <c:f>'Covid-19_pandemic'!$J$4:$J$28</c:f>
              <c:numCache>
                <c:formatCode>0.0</c:formatCode>
                <c:ptCount val="25"/>
                <c:pt idx="0">
                  <c:v>124.10000000000001</c:v>
                </c:pt>
                <c:pt idx="1">
                  <c:v>124.8</c:v>
                </c:pt>
                <c:pt idx="2">
                  <c:v>125.06666666666666</c:v>
                </c:pt>
                <c:pt idx="3">
                  <c:v>124.8</c:v>
                </c:pt>
                <c:pt idx="4">
                  <c:v>125.8</c:v>
                </c:pt>
                <c:pt idx="5">
                  <c:v>126</c:v>
                </c:pt>
                <c:pt idx="6">
                  <c:v>126.3</c:v>
                </c:pt>
                <c:pt idx="7">
                  <c:v>126.5</c:v>
                </c:pt>
                <c:pt idx="8">
                  <c:v>126.8</c:v>
                </c:pt>
                <c:pt idx="9">
                  <c:v>130</c:v>
                </c:pt>
                <c:pt idx="10">
                  <c:v>131.1</c:v>
                </c:pt>
                <c:pt idx="11">
                  <c:v>130.5</c:v>
                </c:pt>
                <c:pt idx="12">
                  <c:v>130.1</c:v>
                </c:pt>
                <c:pt idx="13">
                  <c:v>135.23333333333335</c:v>
                </c:pt>
                <c:pt idx="14">
                  <c:v>135.23333333333335</c:v>
                </c:pt>
                <c:pt idx="15">
                  <c:v>138.66666666666666</c:v>
                </c:pt>
                <c:pt idx="16">
                  <c:v>139.76666666666665</c:v>
                </c:pt>
                <c:pt idx="17">
                  <c:v>140.79999999999998</c:v>
                </c:pt>
                <c:pt idx="18">
                  <c:v>140.56666666666669</c:v>
                </c:pt>
                <c:pt idx="19">
                  <c:v>140.86666666666667</c:v>
                </c:pt>
                <c:pt idx="20">
                  <c:v>142.1</c:v>
                </c:pt>
                <c:pt idx="21">
                  <c:v>145.26666666666668</c:v>
                </c:pt>
                <c:pt idx="22">
                  <c:v>146.4</c:v>
                </c:pt>
                <c:pt idx="23">
                  <c:v>146.79999999999998</c:v>
                </c:pt>
                <c:pt idx="24">
                  <c:v>149.03333333333333</c:v>
                </c:pt>
              </c:numCache>
            </c:numRef>
          </c:val>
          <c:smooth val="0"/>
          <c:extLst>
            <c:ext xmlns:c16="http://schemas.microsoft.com/office/drawing/2014/chart" uri="{C3380CC4-5D6E-409C-BE32-E72D297353CC}">
              <c16:uniqueId val="{00000008-1D4F-4CCE-820D-5E3B31F31A4B}"/>
            </c:ext>
          </c:extLst>
        </c:ser>
        <c:ser>
          <c:idx val="9"/>
          <c:order val="9"/>
          <c:tx>
            <c:strRef>
              <c:f>'Covid-19_pandemic'!$K$3</c:f>
              <c:strCache>
                <c:ptCount val="1"/>
                <c:pt idx="0">
                  <c:v>Average of Recreation and amusement</c:v>
                </c:pt>
              </c:strCache>
            </c:strRef>
          </c:tx>
          <c:spPr>
            <a:ln w="28575" cap="rnd">
              <a:solidFill>
                <a:schemeClr val="accent4">
                  <a:lumMod val="60000"/>
                </a:schemeClr>
              </a:solidFill>
              <a:round/>
            </a:ln>
            <a:effectLst/>
          </c:spPr>
          <c:marker>
            <c:symbol val="none"/>
          </c:marker>
          <c:cat>
            <c:strRef>
              <c:f>'Covid-19_pandemic'!$A$4:$A$28</c:f>
              <c:strCache>
                <c:ptCount val="25"/>
                <c:pt idx="0">
                  <c:v>01-02-2019</c:v>
                </c:pt>
                <c:pt idx="1">
                  <c:v>01-03-2019</c:v>
                </c:pt>
                <c:pt idx="2">
                  <c:v>01-05-2019</c:v>
                </c:pt>
                <c:pt idx="3">
                  <c:v>01-06-2019</c:v>
                </c:pt>
                <c:pt idx="4">
                  <c:v>01-07-2019</c:v>
                </c:pt>
                <c:pt idx="5">
                  <c:v>01-08-2019</c:v>
                </c:pt>
                <c:pt idx="6">
                  <c:v>01-09-2019</c:v>
                </c:pt>
                <c:pt idx="7">
                  <c:v>01-10-2019</c:v>
                </c:pt>
                <c:pt idx="8">
                  <c:v>01-11-2019</c:v>
                </c:pt>
                <c:pt idx="9">
                  <c:v>01-12-2019</c:v>
                </c:pt>
                <c:pt idx="10">
                  <c:v>01-01-2020</c:v>
                </c:pt>
                <c:pt idx="11">
                  <c:v>01-02-2020</c:v>
                </c:pt>
                <c:pt idx="12">
                  <c:v>01-03-2020</c:v>
                </c:pt>
                <c:pt idx="13">
                  <c:v>01-06-2020</c:v>
                </c:pt>
                <c:pt idx="14">
                  <c:v>01-07-2020</c:v>
                </c:pt>
                <c:pt idx="15">
                  <c:v>01-08-2020</c:v>
                </c:pt>
                <c:pt idx="16">
                  <c:v>01-09-2020</c:v>
                </c:pt>
                <c:pt idx="17">
                  <c:v>01-10-2020</c:v>
                </c:pt>
                <c:pt idx="18">
                  <c:v>01-11-2020</c:v>
                </c:pt>
                <c:pt idx="19">
                  <c:v>01-12-2020</c:v>
                </c:pt>
                <c:pt idx="20">
                  <c:v>01-01-2021</c:v>
                </c:pt>
                <c:pt idx="21">
                  <c:v>01-02-2021</c:v>
                </c:pt>
                <c:pt idx="22">
                  <c:v>01-03-2021</c:v>
                </c:pt>
                <c:pt idx="23">
                  <c:v>01-04-2021</c:v>
                </c:pt>
                <c:pt idx="24">
                  <c:v>01-05-2021</c:v>
                </c:pt>
              </c:strCache>
            </c:strRef>
          </c:cat>
          <c:val>
            <c:numRef>
              <c:f>'Covid-19_pandemic'!$K$4:$K$28</c:f>
              <c:numCache>
                <c:formatCode>0.0</c:formatCode>
                <c:ptCount val="25"/>
                <c:pt idx="0">
                  <c:v>137.56666666666663</c:v>
                </c:pt>
                <c:pt idx="1">
                  <c:v>138.16666666666666</c:v>
                </c:pt>
                <c:pt idx="2">
                  <c:v>139.70000000000002</c:v>
                </c:pt>
                <c:pt idx="3">
                  <c:v>140.1</c:v>
                </c:pt>
                <c:pt idx="4">
                  <c:v>141</c:v>
                </c:pt>
                <c:pt idx="5">
                  <c:v>141.43333333333334</c:v>
                </c:pt>
                <c:pt idx="6">
                  <c:v>141.83333333333334</c:v>
                </c:pt>
                <c:pt idx="7">
                  <c:v>142.19999999999999</c:v>
                </c:pt>
                <c:pt idx="8">
                  <c:v>142.63333333333333</c:v>
                </c:pt>
                <c:pt idx="9">
                  <c:v>142.86666666666667</c:v>
                </c:pt>
                <c:pt idx="10">
                  <c:v>143.36666666666667</c:v>
                </c:pt>
                <c:pt idx="11">
                  <c:v>143.76666666666665</c:v>
                </c:pt>
                <c:pt idx="12">
                  <c:v>144.26666666666668</c:v>
                </c:pt>
                <c:pt idx="13">
                  <c:v>148.66666666666666</c:v>
                </c:pt>
                <c:pt idx="14">
                  <c:v>148.66666666666666</c:v>
                </c:pt>
                <c:pt idx="15">
                  <c:v>146.46666666666667</c:v>
                </c:pt>
                <c:pt idx="16">
                  <c:v>147.06666666666666</c:v>
                </c:pt>
                <c:pt idx="17">
                  <c:v>146.96666666666667</c:v>
                </c:pt>
                <c:pt idx="18">
                  <c:v>148.79999999999998</c:v>
                </c:pt>
                <c:pt idx="19">
                  <c:v>148.9</c:v>
                </c:pt>
                <c:pt idx="20">
                  <c:v>150.03333333333333</c:v>
                </c:pt>
                <c:pt idx="21">
                  <c:v>151.93333333333334</c:v>
                </c:pt>
                <c:pt idx="22">
                  <c:v>153</c:v>
                </c:pt>
                <c:pt idx="23">
                  <c:v>153.63333333333333</c:v>
                </c:pt>
                <c:pt idx="24">
                  <c:v>156.13333333333333</c:v>
                </c:pt>
              </c:numCache>
            </c:numRef>
          </c:val>
          <c:smooth val="0"/>
          <c:extLst>
            <c:ext xmlns:c16="http://schemas.microsoft.com/office/drawing/2014/chart" uri="{C3380CC4-5D6E-409C-BE32-E72D297353CC}">
              <c16:uniqueId val="{00000009-1D4F-4CCE-820D-5E3B31F31A4B}"/>
            </c:ext>
          </c:extLst>
        </c:ser>
        <c:ser>
          <c:idx val="10"/>
          <c:order val="10"/>
          <c:tx>
            <c:strRef>
              <c:f>'Covid-19_pandemic'!$L$3</c:f>
              <c:strCache>
                <c:ptCount val="1"/>
                <c:pt idx="0">
                  <c:v>Average of Education</c:v>
                </c:pt>
              </c:strCache>
            </c:strRef>
          </c:tx>
          <c:spPr>
            <a:ln w="28575" cap="rnd">
              <a:solidFill>
                <a:schemeClr val="accent5">
                  <a:lumMod val="60000"/>
                </a:schemeClr>
              </a:solidFill>
              <a:round/>
            </a:ln>
            <a:effectLst/>
          </c:spPr>
          <c:marker>
            <c:symbol val="none"/>
          </c:marker>
          <c:cat>
            <c:strRef>
              <c:f>'Covid-19_pandemic'!$A$4:$A$28</c:f>
              <c:strCache>
                <c:ptCount val="25"/>
                <c:pt idx="0">
                  <c:v>01-02-2019</c:v>
                </c:pt>
                <c:pt idx="1">
                  <c:v>01-03-2019</c:v>
                </c:pt>
                <c:pt idx="2">
                  <c:v>01-05-2019</c:v>
                </c:pt>
                <c:pt idx="3">
                  <c:v>01-06-2019</c:v>
                </c:pt>
                <c:pt idx="4">
                  <c:v>01-07-2019</c:v>
                </c:pt>
                <c:pt idx="5">
                  <c:v>01-08-2019</c:v>
                </c:pt>
                <c:pt idx="6">
                  <c:v>01-09-2019</c:v>
                </c:pt>
                <c:pt idx="7">
                  <c:v>01-10-2019</c:v>
                </c:pt>
                <c:pt idx="8">
                  <c:v>01-11-2019</c:v>
                </c:pt>
                <c:pt idx="9">
                  <c:v>01-12-2019</c:v>
                </c:pt>
                <c:pt idx="10">
                  <c:v>01-01-2020</c:v>
                </c:pt>
                <c:pt idx="11">
                  <c:v>01-02-2020</c:v>
                </c:pt>
                <c:pt idx="12">
                  <c:v>01-03-2020</c:v>
                </c:pt>
                <c:pt idx="13">
                  <c:v>01-06-2020</c:v>
                </c:pt>
                <c:pt idx="14">
                  <c:v>01-07-2020</c:v>
                </c:pt>
                <c:pt idx="15">
                  <c:v>01-08-2020</c:v>
                </c:pt>
                <c:pt idx="16">
                  <c:v>01-09-2020</c:v>
                </c:pt>
                <c:pt idx="17">
                  <c:v>01-10-2020</c:v>
                </c:pt>
                <c:pt idx="18">
                  <c:v>01-11-2020</c:v>
                </c:pt>
                <c:pt idx="19">
                  <c:v>01-12-2020</c:v>
                </c:pt>
                <c:pt idx="20">
                  <c:v>01-01-2021</c:v>
                </c:pt>
                <c:pt idx="21">
                  <c:v>01-02-2021</c:v>
                </c:pt>
                <c:pt idx="22">
                  <c:v>01-03-2021</c:v>
                </c:pt>
                <c:pt idx="23">
                  <c:v>01-04-2021</c:v>
                </c:pt>
                <c:pt idx="24">
                  <c:v>01-05-2021</c:v>
                </c:pt>
              </c:strCache>
            </c:strRef>
          </c:cat>
          <c:val>
            <c:numRef>
              <c:f>'Covid-19_pandemic'!$L$4:$L$28</c:f>
              <c:numCache>
                <c:formatCode>0.0</c:formatCode>
                <c:ptCount val="25"/>
                <c:pt idx="0">
                  <c:v>150.79999999999998</c:v>
                </c:pt>
                <c:pt idx="1">
                  <c:v>150.83333333333334</c:v>
                </c:pt>
                <c:pt idx="2">
                  <c:v>152.1</c:v>
                </c:pt>
                <c:pt idx="3">
                  <c:v>153.03333333333333</c:v>
                </c:pt>
                <c:pt idx="4">
                  <c:v>154.5</c:v>
                </c:pt>
                <c:pt idx="5">
                  <c:v>155.36666666666665</c:v>
                </c:pt>
                <c:pt idx="6">
                  <c:v>155.66666666666666</c:v>
                </c:pt>
                <c:pt idx="7">
                  <c:v>155.93333333333334</c:v>
                </c:pt>
                <c:pt idx="8">
                  <c:v>156.03333333333333</c:v>
                </c:pt>
                <c:pt idx="9">
                  <c:v>156.23333333333335</c:v>
                </c:pt>
                <c:pt idx="10">
                  <c:v>156.63333333333333</c:v>
                </c:pt>
                <c:pt idx="11">
                  <c:v>156.76666666666665</c:v>
                </c:pt>
                <c:pt idx="12">
                  <c:v>156.6</c:v>
                </c:pt>
                <c:pt idx="13">
                  <c:v>156.9</c:v>
                </c:pt>
                <c:pt idx="14">
                  <c:v>156.9</c:v>
                </c:pt>
                <c:pt idx="15">
                  <c:v>158.9</c:v>
                </c:pt>
                <c:pt idx="16">
                  <c:v>157.83333333333334</c:v>
                </c:pt>
                <c:pt idx="17">
                  <c:v>158.9</c:v>
                </c:pt>
                <c:pt idx="18">
                  <c:v>158.86666666666667</c:v>
                </c:pt>
                <c:pt idx="19">
                  <c:v>159.73333333333335</c:v>
                </c:pt>
                <c:pt idx="20">
                  <c:v>159.6</c:v>
                </c:pt>
                <c:pt idx="21">
                  <c:v>159.9</c:v>
                </c:pt>
                <c:pt idx="22">
                  <c:v>160.53333333333333</c:v>
                </c:pt>
                <c:pt idx="23">
                  <c:v>160.66666666666666</c:v>
                </c:pt>
                <c:pt idx="24">
                  <c:v>161.79999999999998</c:v>
                </c:pt>
              </c:numCache>
            </c:numRef>
          </c:val>
          <c:smooth val="0"/>
          <c:extLst>
            <c:ext xmlns:c16="http://schemas.microsoft.com/office/drawing/2014/chart" uri="{C3380CC4-5D6E-409C-BE32-E72D297353CC}">
              <c16:uniqueId val="{0000000A-1D4F-4CCE-820D-5E3B31F31A4B}"/>
            </c:ext>
          </c:extLst>
        </c:ser>
        <c:ser>
          <c:idx val="11"/>
          <c:order val="11"/>
          <c:tx>
            <c:strRef>
              <c:f>'Covid-19_pandemic'!$M$3</c:f>
              <c:strCache>
                <c:ptCount val="1"/>
                <c:pt idx="0">
                  <c:v>Average of Personal care and effects</c:v>
                </c:pt>
              </c:strCache>
            </c:strRef>
          </c:tx>
          <c:spPr>
            <a:ln w="28575" cap="rnd">
              <a:solidFill>
                <a:schemeClr val="accent6">
                  <a:lumMod val="60000"/>
                </a:schemeClr>
              </a:solidFill>
              <a:round/>
            </a:ln>
            <a:effectLst/>
          </c:spPr>
          <c:marker>
            <c:symbol val="none"/>
          </c:marker>
          <c:cat>
            <c:strRef>
              <c:f>'Covid-19_pandemic'!$A$4:$A$28</c:f>
              <c:strCache>
                <c:ptCount val="25"/>
                <c:pt idx="0">
                  <c:v>01-02-2019</c:v>
                </c:pt>
                <c:pt idx="1">
                  <c:v>01-03-2019</c:v>
                </c:pt>
                <c:pt idx="2">
                  <c:v>01-05-2019</c:v>
                </c:pt>
                <c:pt idx="3">
                  <c:v>01-06-2019</c:v>
                </c:pt>
                <c:pt idx="4">
                  <c:v>01-07-2019</c:v>
                </c:pt>
                <c:pt idx="5">
                  <c:v>01-08-2019</c:v>
                </c:pt>
                <c:pt idx="6">
                  <c:v>01-09-2019</c:v>
                </c:pt>
                <c:pt idx="7">
                  <c:v>01-10-2019</c:v>
                </c:pt>
                <c:pt idx="8">
                  <c:v>01-11-2019</c:v>
                </c:pt>
                <c:pt idx="9">
                  <c:v>01-12-2019</c:v>
                </c:pt>
                <c:pt idx="10">
                  <c:v>01-01-2020</c:v>
                </c:pt>
                <c:pt idx="11">
                  <c:v>01-02-2020</c:v>
                </c:pt>
                <c:pt idx="12">
                  <c:v>01-03-2020</c:v>
                </c:pt>
                <c:pt idx="13">
                  <c:v>01-06-2020</c:v>
                </c:pt>
                <c:pt idx="14">
                  <c:v>01-07-2020</c:v>
                </c:pt>
                <c:pt idx="15">
                  <c:v>01-08-2020</c:v>
                </c:pt>
                <c:pt idx="16">
                  <c:v>01-09-2020</c:v>
                </c:pt>
                <c:pt idx="17">
                  <c:v>01-10-2020</c:v>
                </c:pt>
                <c:pt idx="18">
                  <c:v>01-11-2020</c:v>
                </c:pt>
                <c:pt idx="19">
                  <c:v>01-12-2020</c:v>
                </c:pt>
                <c:pt idx="20">
                  <c:v>01-01-2021</c:v>
                </c:pt>
                <c:pt idx="21">
                  <c:v>01-02-2021</c:v>
                </c:pt>
                <c:pt idx="22">
                  <c:v>01-03-2021</c:v>
                </c:pt>
                <c:pt idx="23">
                  <c:v>01-04-2021</c:v>
                </c:pt>
                <c:pt idx="24">
                  <c:v>01-05-2021</c:v>
                </c:pt>
              </c:strCache>
            </c:strRef>
          </c:cat>
          <c:val>
            <c:numRef>
              <c:f>'Covid-19_pandemic'!$M$4:$M$28</c:f>
              <c:numCache>
                <c:formatCode>0.0</c:formatCode>
                <c:ptCount val="25"/>
                <c:pt idx="0">
                  <c:v>134</c:v>
                </c:pt>
                <c:pt idx="1">
                  <c:v>133.29999999999998</c:v>
                </c:pt>
                <c:pt idx="2">
                  <c:v>133.29999999999998</c:v>
                </c:pt>
                <c:pt idx="3">
                  <c:v>134.26666666666668</c:v>
                </c:pt>
                <c:pt idx="4">
                  <c:v>135.63333333333333</c:v>
                </c:pt>
                <c:pt idx="5">
                  <c:v>138.33333333333334</c:v>
                </c:pt>
                <c:pt idx="6">
                  <c:v>139.63333333333333</c:v>
                </c:pt>
                <c:pt idx="7">
                  <c:v>139.93333333333334</c:v>
                </c:pt>
                <c:pt idx="8">
                  <c:v>140.23333333333335</c:v>
                </c:pt>
                <c:pt idx="9">
                  <c:v>140.4</c:v>
                </c:pt>
                <c:pt idx="10">
                  <c:v>142.29999999999998</c:v>
                </c:pt>
                <c:pt idx="11">
                  <c:v>143.43333333333331</c:v>
                </c:pt>
                <c:pt idx="12">
                  <c:v>145.20000000000002</c:v>
                </c:pt>
                <c:pt idx="13">
                  <c:v>151.66666666666666</c:v>
                </c:pt>
                <c:pt idx="14">
                  <c:v>151.66666666666666</c:v>
                </c:pt>
                <c:pt idx="15">
                  <c:v>154.36666666666667</c:v>
                </c:pt>
                <c:pt idx="16">
                  <c:v>158.53333333333333</c:v>
                </c:pt>
                <c:pt idx="17">
                  <c:v>157.1</c:v>
                </c:pt>
                <c:pt idx="18">
                  <c:v>157</c:v>
                </c:pt>
                <c:pt idx="19">
                  <c:v>157.20000000000002</c:v>
                </c:pt>
                <c:pt idx="20">
                  <c:v>156.9</c:v>
                </c:pt>
                <c:pt idx="21">
                  <c:v>155.9</c:v>
                </c:pt>
                <c:pt idx="22">
                  <c:v>153.93333333333337</c:v>
                </c:pt>
                <c:pt idx="23">
                  <c:v>155.53333333333333</c:v>
                </c:pt>
                <c:pt idx="24">
                  <c:v>158.46666666666667</c:v>
                </c:pt>
              </c:numCache>
            </c:numRef>
          </c:val>
          <c:smooth val="0"/>
          <c:extLst>
            <c:ext xmlns:c16="http://schemas.microsoft.com/office/drawing/2014/chart" uri="{C3380CC4-5D6E-409C-BE32-E72D297353CC}">
              <c16:uniqueId val="{0000000B-1D4F-4CCE-820D-5E3B31F31A4B}"/>
            </c:ext>
          </c:extLst>
        </c:ser>
        <c:ser>
          <c:idx val="12"/>
          <c:order val="12"/>
          <c:tx>
            <c:strRef>
              <c:f>'Covid-19_pandemic'!$N$3</c:f>
              <c:strCache>
                <c:ptCount val="1"/>
                <c:pt idx="0">
                  <c:v>Average of Miscellaneous</c:v>
                </c:pt>
              </c:strCache>
            </c:strRef>
          </c:tx>
          <c:spPr>
            <a:ln w="28575" cap="rnd">
              <a:solidFill>
                <a:schemeClr val="accent1">
                  <a:lumMod val="80000"/>
                  <a:lumOff val="20000"/>
                </a:schemeClr>
              </a:solidFill>
              <a:round/>
            </a:ln>
            <a:effectLst/>
          </c:spPr>
          <c:marker>
            <c:symbol val="none"/>
          </c:marker>
          <c:cat>
            <c:strRef>
              <c:f>'Covid-19_pandemic'!$A$4:$A$28</c:f>
              <c:strCache>
                <c:ptCount val="25"/>
                <c:pt idx="0">
                  <c:v>01-02-2019</c:v>
                </c:pt>
                <c:pt idx="1">
                  <c:v>01-03-2019</c:v>
                </c:pt>
                <c:pt idx="2">
                  <c:v>01-05-2019</c:v>
                </c:pt>
                <c:pt idx="3">
                  <c:v>01-06-2019</c:v>
                </c:pt>
                <c:pt idx="4">
                  <c:v>01-07-2019</c:v>
                </c:pt>
                <c:pt idx="5">
                  <c:v>01-08-2019</c:v>
                </c:pt>
                <c:pt idx="6">
                  <c:v>01-09-2019</c:v>
                </c:pt>
                <c:pt idx="7">
                  <c:v>01-10-2019</c:v>
                </c:pt>
                <c:pt idx="8">
                  <c:v>01-11-2019</c:v>
                </c:pt>
                <c:pt idx="9">
                  <c:v>01-12-2019</c:v>
                </c:pt>
                <c:pt idx="10">
                  <c:v>01-01-2020</c:v>
                </c:pt>
                <c:pt idx="11">
                  <c:v>01-02-2020</c:v>
                </c:pt>
                <c:pt idx="12">
                  <c:v>01-03-2020</c:v>
                </c:pt>
                <c:pt idx="13">
                  <c:v>01-06-2020</c:v>
                </c:pt>
                <c:pt idx="14">
                  <c:v>01-07-2020</c:v>
                </c:pt>
                <c:pt idx="15">
                  <c:v>01-08-2020</c:v>
                </c:pt>
                <c:pt idx="16">
                  <c:v>01-09-2020</c:v>
                </c:pt>
                <c:pt idx="17">
                  <c:v>01-10-2020</c:v>
                </c:pt>
                <c:pt idx="18">
                  <c:v>01-11-2020</c:v>
                </c:pt>
                <c:pt idx="19">
                  <c:v>01-12-2020</c:v>
                </c:pt>
                <c:pt idx="20">
                  <c:v>01-01-2021</c:v>
                </c:pt>
                <c:pt idx="21">
                  <c:v>01-02-2021</c:v>
                </c:pt>
                <c:pt idx="22">
                  <c:v>01-03-2021</c:v>
                </c:pt>
                <c:pt idx="23">
                  <c:v>01-04-2021</c:v>
                </c:pt>
                <c:pt idx="24">
                  <c:v>01-05-2021</c:v>
                </c:pt>
              </c:strCache>
            </c:strRef>
          </c:cat>
          <c:val>
            <c:numRef>
              <c:f>'Covid-19_pandemic'!$N$4:$N$28</c:f>
              <c:numCache>
                <c:formatCode>0.0</c:formatCode>
                <c:ptCount val="25"/>
                <c:pt idx="0">
                  <c:v>137.33333333333334</c:v>
                </c:pt>
                <c:pt idx="1">
                  <c:v>137.63333333333333</c:v>
                </c:pt>
                <c:pt idx="2">
                  <c:v>138.13333333333333</c:v>
                </c:pt>
                <c:pt idx="3">
                  <c:v>138.5</c:v>
                </c:pt>
                <c:pt idx="4">
                  <c:v>139.4</c:v>
                </c:pt>
                <c:pt idx="5">
                  <c:v>140.13333333333333</c:v>
                </c:pt>
                <c:pt idx="6">
                  <c:v>140.6</c:v>
                </c:pt>
                <c:pt idx="7">
                  <c:v>140.9</c:v>
                </c:pt>
                <c:pt idx="8">
                  <c:v>141.23333333333335</c:v>
                </c:pt>
                <c:pt idx="9">
                  <c:v>142.43333333333331</c:v>
                </c:pt>
                <c:pt idx="10">
                  <c:v>143.29999999999998</c:v>
                </c:pt>
                <c:pt idx="11">
                  <c:v>143.46666666666667</c:v>
                </c:pt>
                <c:pt idx="12">
                  <c:v>143.70000000000002</c:v>
                </c:pt>
                <c:pt idx="13">
                  <c:v>146.9</c:v>
                </c:pt>
                <c:pt idx="14">
                  <c:v>146.9</c:v>
                </c:pt>
                <c:pt idx="15">
                  <c:v>148.93333333333334</c:v>
                </c:pt>
                <c:pt idx="16">
                  <c:v>149.9</c:v>
                </c:pt>
                <c:pt idx="17">
                  <c:v>150.30000000000001</c:v>
                </c:pt>
                <c:pt idx="18">
                  <c:v>150.6</c:v>
                </c:pt>
                <c:pt idx="19">
                  <c:v>151.1</c:v>
                </c:pt>
                <c:pt idx="20">
                  <c:v>151.79999999999998</c:v>
                </c:pt>
                <c:pt idx="21">
                  <c:v>153.30000000000001</c:v>
                </c:pt>
                <c:pt idx="22">
                  <c:v>153.70000000000002</c:v>
                </c:pt>
                <c:pt idx="23">
                  <c:v>154.29999999999998</c:v>
                </c:pt>
                <c:pt idx="24">
                  <c:v>156.73333333333335</c:v>
                </c:pt>
              </c:numCache>
            </c:numRef>
          </c:val>
          <c:smooth val="0"/>
          <c:extLst>
            <c:ext xmlns:c16="http://schemas.microsoft.com/office/drawing/2014/chart" uri="{C3380CC4-5D6E-409C-BE32-E72D297353CC}">
              <c16:uniqueId val="{0000000C-1D4F-4CCE-820D-5E3B31F31A4B}"/>
            </c:ext>
          </c:extLst>
        </c:ser>
        <c:ser>
          <c:idx val="13"/>
          <c:order val="13"/>
          <c:tx>
            <c:strRef>
              <c:f>'Covid-19_pandemic'!$O$3</c:f>
              <c:strCache>
                <c:ptCount val="1"/>
                <c:pt idx="0">
                  <c:v>Average of General index</c:v>
                </c:pt>
              </c:strCache>
            </c:strRef>
          </c:tx>
          <c:spPr>
            <a:ln w="28575" cap="rnd">
              <a:solidFill>
                <a:schemeClr val="accent2">
                  <a:lumMod val="80000"/>
                  <a:lumOff val="20000"/>
                </a:schemeClr>
              </a:solidFill>
              <a:round/>
            </a:ln>
            <a:effectLst/>
          </c:spPr>
          <c:marker>
            <c:symbol val="none"/>
          </c:marker>
          <c:cat>
            <c:strRef>
              <c:f>'Covid-19_pandemic'!$A$4:$A$28</c:f>
              <c:strCache>
                <c:ptCount val="25"/>
                <c:pt idx="0">
                  <c:v>01-02-2019</c:v>
                </c:pt>
                <c:pt idx="1">
                  <c:v>01-03-2019</c:v>
                </c:pt>
                <c:pt idx="2">
                  <c:v>01-05-2019</c:v>
                </c:pt>
                <c:pt idx="3">
                  <c:v>01-06-2019</c:v>
                </c:pt>
                <c:pt idx="4">
                  <c:v>01-07-2019</c:v>
                </c:pt>
                <c:pt idx="5">
                  <c:v>01-08-2019</c:v>
                </c:pt>
                <c:pt idx="6">
                  <c:v>01-09-2019</c:v>
                </c:pt>
                <c:pt idx="7">
                  <c:v>01-10-2019</c:v>
                </c:pt>
                <c:pt idx="8">
                  <c:v>01-11-2019</c:v>
                </c:pt>
                <c:pt idx="9">
                  <c:v>01-12-2019</c:v>
                </c:pt>
                <c:pt idx="10">
                  <c:v>01-01-2020</c:v>
                </c:pt>
                <c:pt idx="11">
                  <c:v>01-02-2020</c:v>
                </c:pt>
                <c:pt idx="12">
                  <c:v>01-03-2020</c:v>
                </c:pt>
                <c:pt idx="13">
                  <c:v>01-06-2020</c:v>
                </c:pt>
                <c:pt idx="14">
                  <c:v>01-07-2020</c:v>
                </c:pt>
                <c:pt idx="15">
                  <c:v>01-08-2020</c:v>
                </c:pt>
                <c:pt idx="16">
                  <c:v>01-09-2020</c:v>
                </c:pt>
                <c:pt idx="17">
                  <c:v>01-10-2020</c:v>
                </c:pt>
                <c:pt idx="18">
                  <c:v>01-11-2020</c:v>
                </c:pt>
                <c:pt idx="19">
                  <c:v>01-12-2020</c:v>
                </c:pt>
                <c:pt idx="20">
                  <c:v>01-01-2021</c:v>
                </c:pt>
                <c:pt idx="21">
                  <c:v>01-02-2021</c:v>
                </c:pt>
                <c:pt idx="22">
                  <c:v>01-03-2021</c:v>
                </c:pt>
                <c:pt idx="23">
                  <c:v>01-04-2021</c:v>
                </c:pt>
                <c:pt idx="24">
                  <c:v>01-05-2021</c:v>
                </c:pt>
              </c:strCache>
            </c:strRef>
          </c:cat>
          <c:val>
            <c:numRef>
              <c:f>'Covid-19_pandemic'!$O$4:$O$28</c:f>
              <c:numCache>
                <c:formatCode>0.0</c:formatCode>
                <c:ptCount val="25"/>
                <c:pt idx="0">
                  <c:v>139.83333333333334</c:v>
                </c:pt>
                <c:pt idx="1">
                  <c:v>140.36666666666665</c:v>
                </c:pt>
                <c:pt idx="2">
                  <c:v>141.96666666666667</c:v>
                </c:pt>
                <c:pt idx="3">
                  <c:v>142.86666666666667</c:v>
                </c:pt>
                <c:pt idx="4">
                  <c:v>144.13333333333333</c:v>
                </c:pt>
                <c:pt idx="5">
                  <c:v>144.96666666666667</c:v>
                </c:pt>
                <c:pt idx="6">
                  <c:v>145.73333333333332</c:v>
                </c:pt>
                <c:pt idx="7">
                  <c:v>147.16666666666666</c:v>
                </c:pt>
                <c:pt idx="8">
                  <c:v>148.5</c:v>
                </c:pt>
                <c:pt idx="9">
                  <c:v>150.33333333333334</c:v>
                </c:pt>
                <c:pt idx="10">
                  <c:v>150.1</c:v>
                </c:pt>
                <c:pt idx="11">
                  <c:v>149.06666666666663</c:v>
                </c:pt>
                <c:pt idx="12">
                  <c:v>148.56666666666666</c:v>
                </c:pt>
                <c:pt idx="13">
                  <c:v>151.76666666666668</c:v>
                </c:pt>
                <c:pt idx="14">
                  <c:v>151.76666666666668</c:v>
                </c:pt>
                <c:pt idx="15">
                  <c:v>153.83333333333334</c:v>
                </c:pt>
                <c:pt idx="16">
                  <c:v>154.70000000000002</c:v>
                </c:pt>
                <c:pt idx="17">
                  <c:v>156.36666666666667</c:v>
                </c:pt>
                <c:pt idx="18">
                  <c:v>158.30000000000001</c:v>
                </c:pt>
                <c:pt idx="19">
                  <c:v>158.83333333333334</c:v>
                </c:pt>
                <c:pt idx="20">
                  <c:v>157.26666666666668</c:v>
                </c:pt>
                <c:pt idx="21">
                  <c:v>156.6</c:v>
                </c:pt>
                <c:pt idx="22">
                  <c:v>156.80000000000001</c:v>
                </c:pt>
                <c:pt idx="23">
                  <c:v>157.79999999999998</c:v>
                </c:pt>
                <c:pt idx="24">
                  <c:v>160.33333333333334</c:v>
                </c:pt>
              </c:numCache>
            </c:numRef>
          </c:val>
          <c:smooth val="0"/>
          <c:extLst>
            <c:ext xmlns:c16="http://schemas.microsoft.com/office/drawing/2014/chart" uri="{C3380CC4-5D6E-409C-BE32-E72D297353CC}">
              <c16:uniqueId val="{0000000D-1D4F-4CCE-820D-5E3B31F31A4B}"/>
            </c:ext>
          </c:extLst>
        </c:ser>
        <c:dLbls>
          <c:showLegendKey val="0"/>
          <c:showVal val="0"/>
          <c:showCatName val="0"/>
          <c:showSerName val="0"/>
          <c:showPercent val="0"/>
          <c:showBubbleSize val="0"/>
        </c:dLbls>
        <c:smooth val="0"/>
        <c:axId val="280391744"/>
        <c:axId val="280390080"/>
      </c:lineChart>
      <c:catAx>
        <c:axId val="280391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Before and After Covid-19 Months</a:t>
                </a:r>
              </a:p>
            </c:rich>
          </c:tx>
          <c:layout>
            <c:manualLayout>
              <c:xMode val="edge"/>
              <c:yMode val="edge"/>
              <c:x val="0.28827723928570897"/>
              <c:y val="0.8998363134389004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390080"/>
        <c:crosses val="autoZero"/>
        <c:auto val="1"/>
        <c:lblAlgn val="ctr"/>
        <c:lblOffset val="100"/>
        <c:noMultiLvlLbl val="0"/>
      </c:catAx>
      <c:valAx>
        <c:axId val="280390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solidFill>
                      <a:schemeClr val="tx1"/>
                    </a:solidFill>
                  </a:rPr>
                  <a:t>Inflation Rates for different categories</a:t>
                </a:r>
              </a:p>
            </c:rich>
          </c:tx>
          <c:layout>
            <c:manualLayout>
              <c:xMode val="edge"/>
              <c:yMode val="edge"/>
              <c:x val="8.6111117514825006E-3"/>
              <c:y val="0.157762652414798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39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Fuel</a:t>
            </a:r>
            <a:r>
              <a:rPr lang="en-IN" b="1" baseline="0">
                <a:solidFill>
                  <a:schemeClr val="tx1"/>
                </a:solidFill>
              </a:rPr>
              <a:t> VS Other Categories</a:t>
            </a:r>
            <a:endParaRPr lang="en-IN" b="1">
              <a:solidFill>
                <a:schemeClr val="tx1"/>
              </a:solidFill>
            </a:endParaRPr>
          </a:p>
        </c:rich>
      </c:tx>
      <c:layout>
        <c:manualLayout>
          <c:xMode val="edge"/>
          <c:yMode val="edge"/>
          <c:x val="0.38061318579990777"/>
          <c:y val="1.70590242238143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'Fuel VS CorrelCoeff'!$C$40</c:f>
              <c:strCache>
                <c:ptCount val="1"/>
                <c:pt idx="0">
                  <c:v>Correl value</c:v>
                </c:pt>
              </c:strCache>
            </c:strRef>
          </c:tx>
          <c:dPt>
            <c:idx val="0"/>
            <c:bubble3D val="0"/>
            <c:spPr>
              <a:solidFill>
                <a:schemeClr val="accent1"/>
              </a:solidFill>
              <a:ln>
                <a:noFill/>
              </a:ln>
              <a:effectLst/>
            </c:spPr>
            <c:extLst>
              <c:ext xmlns:c16="http://schemas.microsoft.com/office/drawing/2014/chart" uri="{C3380CC4-5D6E-409C-BE32-E72D297353CC}">
                <c16:uniqueId val="{00000001-FB27-4B3A-8D61-373AA2D27458}"/>
              </c:ext>
            </c:extLst>
          </c:dPt>
          <c:dPt>
            <c:idx val="1"/>
            <c:bubble3D val="0"/>
            <c:spPr>
              <a:solidFill>
                <a:schemeClr val="accent2"/>
              </a:solidFill>
              <a:ln>
                <a:noFill/>
              </a:ln>
              <a:effectLst/>
            </c:spPr>
            <c:extLst>
              <c:ext xmlns:c16="http://schemas.microsoft.com/office/drawing/2014/chart" uri="{C3380CC4-5D6E-409C-BE32-E72D297353CC}">
                <c16:uniqueId val="{00000003-FB27-4B3A-8D61-373AA2D27458}"/>
              </c:ext>
            </c:extLst>
          </c:dPt>
          <c:dPt>
            <c:idx val="2"/>
            <c:bubble3D val="0"/>
            <c:spPr>
              <a:solidFill>
                <a:schemeClr val="accent3"/>
              </a:solidFill>
              <a:ln>
                <a:noFill/>
              </a:ln>
              <a:effectLst/>
            </c:spPr>
            <c:extLst>
              <c:ext xmlns:c16="http://schemas.microsoft.com/office/drawing/2014/chart" uri="{C3380CC4-5D6E-409C-BE32-E72D297353CC}">
                <c16:uniqueId val="{00000005-FB27-4B3A-8D61-373AA2D27458}"/>
              </c:ext>
            </c:extLst>
          </c:dPt>
          <c:dPt>
            <c:idx val="3"/>
            <c:bubble3D val="0"/>
            <c:spPr>
              <a:solidFill>
                <a:schemeClr val="accent4"/>
              </a:solidFill>
              <a:ln>
                <a:noFill/>
              </a:ln>
              <a:effectLst/>
            </c:spPr>
            <c:extLst>
              <c:ext xmlns:c16="http://schemas.microsoft.com/office/drawing/2014/chart" uri="{C3380CC4-5D6E-409C-BE32-E72D297353CC}">
                <c16:uniqueId val="{00000007-FB27-4B3A-8D61-373AA2D27458}"/>
              </c:ext>
            </c:extLst>
          </c:dPt>
          <c:dPt>
            <c:idx val="4"/>
            <c:bubble3D val="0"/>
            <c:spPr>
              <a:solidFill>
                <a:schemeClr val="accent5"/>
              </a:solidFill>
              <a:ln>
                <a:noFill/>
              </a:ln>
              <a:effectLst/>
            </c:spPr>
            <c:extLst>
              <c:ext xmlns:c16="http://schemas.microsoft.com/office/drawing/2014/chart" uri="{C3380CC4-5D6E-409C-BE32-E72D297353CC}">
                <c16:uniqueId val="{00000009-FB27-4B3A-8D61-373AA2D27458}"/>
              </c:ext>
            </c:extLst>
          </c:dPt>
          <c:dPt>
            <c:idx val="5"/>
            <c:bubble3D val="0"/>
            <c:spPr>
              <a:solidFill>
                <a:schemeClr val="accent6"/>
              </a:solidFill>
              <a:ln>
                <a:noFill/>
              </a:ln>
              <a:effectLst/>
            </c:spPr>
            <c:extLst>
              <c:ext xmlns:c16="http://schemas.microsoft.com/office/drawing/2014/chart" uri="{C3380CC4-5D6E-409C-BE32-E72D297353CC}">
                <c16:uniqueId val="{0000000B-FB27-4B3A-8D61-373AA2D27458}"/>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B27-4B3A-8D61-373AA2D27458}"/>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B27-4B3A-8D61-373AA2D27458}"/>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FB27-4B3A-8D61-373AA2D27458}"/>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FB27-4B3A-8D61-373AA2D27458}"/>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FB27-4B3A-8D61-373AA2D27458}"/>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FB27-4B3A-8D61-373AA2D2745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'Fuel VS CorrelCoeff'!$B$41:$B$52</c:f>
              <c:strCache>
                <c:ptCount val="12"/>
                <c:pt idx="0">
                  <c:v>Fuel VS Food</c:v>
                </c:pt>
                <c:pt idx="1">
                  <c:v>Fuel VS Clothing</c:v>
                </c:pt>
                <c:pt idx="2">
                  <c:v>Fuel VS Footwear</c:v>
                </c:pt>
                <c:pt idx="3">
                  <c:v>Fuel VS Housing</c:v>
                </c:pt>
                <c:pt idx="4">
                  <c:v>Fuel VS Health</c:v>
                </c:pt>
                <c:pt idx="5">
                  <c:v>Fuel VS Transport &amp; Comm.</c:v>
                </c:pt>
                <c:pt idx="6">
                  <c:v>Fuel VS Recreation and amusement</c:v>
                </c:pt>
                <c:pt idx="7">
                  <c:v>Fuel VS Education</c:v>
                </c:pt>
                <c:pt idx="8">
                  <c:v>Fuel VS Personal Care &amp; Effects</c:v>
                </c:pt>
                <c:pt idx="9">
                  <c:v>Fuel VS Miscellaneous</c:v>
                </c:pt>
                <c:pt idx="10">
                  <c:v>Fuel VS General Index</c:v>
                </c:pt>
                <c:pt idx="11">
                  <c:v>Fuel VS household goods &amp; services</c:v>
                </c:pt>
              </c:strCache>
            </c:strRef>
          </c:cat>
          <c:val>
            <c:numRef>
              <c:f>'Fuel VS CorrelCoeff'!$C$41:$C$52</c:f>
              <c:numCache>
                <c:formatCode>General</c:formatCode>
                <c:ptCount val="12"/>
                <c:pt idx="0">
                  <c:v>0.19977175012634671</c:v>
                </c:pt>
                <c:pt idx="1">
                  <c:v>0.18591007422355182</c:v>
                </c:pt>
                <c:pt idx="2">
                  <c:v>0.21758408323883857</c:v>
                </c:pt>
                <c:pt idx="3">
                  <c:v>0.12819404186055872</c:v>
                </c:pt>
                <c:pt idx="4">
                  <c:v>0.10986480007421118</c:v>
                </c:pt>
                <c:pt idx="5">
                  <c:v>0.24152906352127859</c:v>
                </c:pt>
                <c:pt idx="6">
                  <c:v>0.20324375001422992</c:v>
                </c:pt>
                <c:pt idx="7">
                  <c:v>0.15809548548743266</c:v>
                </c:pt>
                <c:pt idx="8">
                  <c:v>9.907127511447536E-2</c:v>
                </c:pt>
                <c:pt idx="9">
                  <c:v>0.16938503268720054</c:v>
                </c:pt>
                <c:pt idx="10">
                  <c:v>0.21003976429246682</c:v>
                </c:pt>
                <c:pt idx="11">
                  <c:v>0.16553597598295616</c:v>
                </c:pt>
              </c:numCache>
            </c:numRef>
          </c:val>
          <c:extLst>
            <c:ext xmlns:c16="http://schemas.microsoft.com/office/drawing/2014/chart" uri="{C3380CC4-5D6E-409C-BE32-E72D297353CC}">
              <c16:uniqueId val="{00000000-7197-4C72-BED2-6ADF74EB4A6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100853</xdr:colOff>
      <xdr:row>13</xdr:row>
      <xdr:rowOff>70221</xdr:rowOff>
    </xdr:from>
    <xdr:to>
      <xdr:col>7</xdr:col>
      <xdr:colOff>657412</xdr:colOff>
      <xdr:row>35</xdr:row>
      <xdr:rowOff>44822</xdr:rowOff>
    </xdr:to>
    <xdr:graphicFrame macro="">
      <xdr:nvGraphicFramePr>
        <xdr:cNvPr id="5" name="Chart 4">
          <a:extLst>
            <a:ext uri="{FF2B5EF4-FFF2-40B4-BE49-F238E27FC236}">
              <a16:creationId xmlns:a16="http://schemas.microsoft.com/office/drawing/2014/main" id="{DC685B99-C95C-45AE-8AA4-E90879A80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112058</xdr:colOff>
      <xdr:row>0</xdr:row>
      <xdr:rowOff>171825</xdr:rowOff>
    </xdr:from>
    <xdr:to>
      <xdr:col>6</xdr:col>
      <xdr:colOff>2350354</xdr:colOff>
      <xdr:row>12</xdr:row>
      <xdr:rowOff>52296</xdr:rowOff>
    </xdr:to>
    <xdr:pic>
      <xdr:nvPicPr>
        <xdr:cNvPr id="6" name="Picture 5">
          <a:extLst>
            <a:ext uri="{FF2B5EF4-FFF2-40B4-BE49-F238E27FC236}">
              <a16:creationId xmlns:a16="http://schemas.microsoft.com/office/drawing/2014/main" id="{51E5FF3D-EE5B-46F0-ABDF-EF111EA89761}"/>
            </a:ext>
          </a:extLst>
        </xdr:cNvPr>
        <xdr:cNvPicPr>
          <a:picLocks noChangeAspect="1"/>
        </xdr:cNvPicPr>
      </xdr:nvPicPr>
      <xdr:blipFill>
        <a:blip xmlns:r="http://schemas.openxmlformats.org/officeDocument/2006/relationships" r:embed="rId2"/>
        <a:stretch>
          <a:fillRect/>
        </a:stretch>
      </xdr:blipFill>
      <xdr:spPr>
        <a:xfrm>
          <a:off x="5460999" y="171825"/>
          <a:ext cx="495759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198120</xdr:colOff>
      <xdr:row>13</xdr:row>
      <xdr:rowOff>22860</xdr:rowOff>
    </xdr:from>
    <xdr:to>
      <xdr:col>7</xdr:col>
      <xdr:colOff>160020</xdr:colOff>
      <xdr:row>21</xdr:row>
      <xdr:rowOff>164269</xdr:rowOff>
    </xdr:to>
    <xdr:pic>
      <xdr:nvPicPr>
        <xdr:cNvPr id="2" name="Picture 1">
          <a:extLst>
            <a:ext uri="{FF2B5EF4-FFF2-40B4-BE49-F238E27FC236}">
              <a16:creationId xmlns:a16="http://schemas.microsoft.com/office/drawing/2014/main" id="{CE48AC60-27FF-4D1C-8BFA-0B9C75D8B804}"/>
            </a:ext>
          </a:extLst>
        </xdr:cNvPr>
        <xdr:cNvPicPr>
          <a:picLocks noChangeAspect="1"/>
        </xdr:cNvPicPr>
      </xdr:nvPicPr>
      <xdr:blipFill>
        <a:blip xmlns:r="http://schemas.openxmlformats.org/officeDocument/2006/relationships" r:embed="rId1"/>
        <a:stretch>
          <a:fillRect/>
        </a:stretch>
      </xdr:blipFill>
      <xdr:spPr>
        <a:xfrm>
          <a:off x="198120" y="2400300"/>
          <a:ext cx="5394960" cy="1604449"/>
        </a:xfrm>
        <a:prstGeom prst="rect">
          <a:avLst/>
        </a:prstGeom>
      </xdr:spPr>
    </xdr:pic>
    <xdr:clientData/>
  </xdr:twoCellAnchor>
  <xdr:twoCellAnchor>
    <xdr:from>
      <xdr:col>10</xdr:col>
      <xdr:colOff>464820</xdr:colOff>
      <xdr:row>8</xdr:row>
      <xdr:rowOff>163830</xdr:rowOff>
    </xdr:from>
    <xdr:to>
      <xdr:col>18</xdr:col>
      <xdr:colOff>160020</xdr:colOff>
      <xdr:row>23</xdr:row>
      <xdr:rowOff>163830</xdr:rowOff>
    </xdr:to>
    <xdr:graphicFrame macro="">
      <xdr:nvGraphicFramePr>
        <xdr:cNvPr id="10" name="Chart 9">
          <a:extLst>
            <a:ext uri="{FF2B5EF4-FFF2-40B4-BE49-F238E27FC236}">
              <a16:creationId xmlns:a16="http://schemas.microsoft.com/office/drawing/2014/main" id="{BC25612C-49C7-48F5-BE29-B4B48D4F7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571500</xdr:colOff>
      <xdr:row>4</xdr:row>
      <xdr:rowOff>91440</xdr:rowOff>
    </xdr:from>
    <xdr:to>
      <xdr:col>14</xdr:col>
      <xdr:colOff>297180</xdr:colOff>
      <xdr:row>14</xdr:row>
      <xdr:rowOff>91439</xdr:rowOff>
    </xdr:to>
    <xdr:pic>
      <xdr:nvPicPr>
        <xdr:cNvPr id="3" name="Picture 2">
          <a:extLst>
            <a:ext uri="{FF2B5EF4-FFF2-40B4-BE49-F238E27FC236}">
              <a16:creationId xmlns:a16="http://schemas.microsoft.com/office/drawing/2014/main" id="{E827C2E4-F88D-4258-AA24-EF588B5E5EBA}"/>
            </a:ext>
          </a:extLst>
        </xdr:cNvPr>
        <xdr:cNvPicPr>
          <a:picLocks noChangeAspect="1"/>
        </xdr:cNvPicPr>
      </xdr:nvPicPr>
      <xdr:blipFill>
        <a:blip xmlns:r="http://schemas.openxmlformats.org/officeDocument/2006/relationships" r:embed="rId1"/>
        <a:stretch>
          <a:fillRect/>
        </a:stretch>
      </xdr:blipFill>
      <xdr:spPr>
        <a:xfrm>
          <a:off x="3863340" y="822960"/>
          <a:ext cx="5821680" cy="1828799"/>
        </a:xfrm>
        <a:prstGeom prst="rect">
          <a:avLst/>
        </a:prstGeom>
      </xdr:spPr>
    </xdr:pic>
    <xdr:clientData/>
  </xdr:twoCellAnchor>
  <xdr:twoCellAnchor>
    <xdr:from>
      <xdr:col>3</xdr:col>
      <xdr:colOff>701040</xdr:colOff>
      <xdr:row>15</xdr:row>
      <xdr:rowOff>41910</xdr:rowOff>
    </xdr:from>
    <xdr:to>
      <xdr:col>15</xdr:col>
      <xdr:colOff>15240</xdr:colOff>
      <xdr:row>32</xdr:row>
      <xdr:rowOff>114300</xdr:rowOff>
    </xdr:to>
    <xdr:graphicFrame macro="">
      <xdr:nvGraphicFramePr>
        <xdr:cNvPr id="4" name="Chart 3">
          <a:extLst>
            <a:ext uri="{FF2B5EF4-FFF2-40B4-BE49-F238E27FC236}">
              <a16:creationId xmlns:a16="http://schemas.microsoft.com/office/drawing/2014/main" id="{B874865A-0DC0-409D-9D88-DDFA4305FA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876300</xdr:colOff>
      <xdr:row>17</xdr:row>
      <xdr:rowOff>26670</xdr:rowOff>
    </xdr:from>
    <xdr:to>
      <xdr:col>7</xdr:col>
      <xdr:colOff>975360</xdr:colOff>
      <xdr:row>38</xdr:row>
      <xdr:rowOff>160020</xdr:rowOff>
    </xdr:to>
    <xdr:graphicFrame macro="">
      <xdr:nvGraphicFramePr>
        <xdr:cNvPr id="7" name="Chart 6">
          <a:extLst>
            <a:ext uri="{FF2B5EF4-FFF2-40B4-BE49-F238E27FC236}">
              <a16:creationId xmlns:a16="http://schemas.microsoft.com/office/drawing/2014/main" id="{A70FE103-95AB-4283-AD4B-E84622636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17</xdr:row>
      <xdr:rowOff>175260</xdr:rowOff>
    </xdr:from>
    <xdr:to>
      <xdr:col>3</xdr:col>
      <xdr:colOff>769620</xdr:colOff>
      <xdr:row>27</xdr:row>
      <xdr:rowOff>83819</xdr:rowOff>
    </xdr:to>
    <xdr:pic>
      <xdr:nvPicPr>
        <xdr:cNvPr id="3" name="Picture 2">
          <a:extLst>
            <a:ext uri="{FF2B5EF4-FFF2-40B4-BE49-F238E27FC236}">
              <a16:creationId xmlns:a16="http://schemas.microsoft.com/office/drawing/2014/main" id="{DD99FF11-CD12-48FA-AF86-5FFB9C54B47D}"/>
            </a:ext>
          </a:extLst>
        </xdr:cNvPr>
        <xdr:cNvPicPr>
          <a:picLocks noChangeAspect="1"/>
        </xdr:cNvPicPr>
      </xdr:nvPicPr>
      <xdr:blipFill>
        <a:blip xmlns:r="http://schemas.openxmlformats.org/officeDocument/2006/relationships" r:embed="rId2"/>
        <a:stretch>
          <a:fillRect/>
        </a:stretch>
      </xdr:blipFill>
      <xdr:spPr>
        <a:xfrm>
          <a:off x="114300" y="3284220"/>
          <a:ext cx="5303520" cy="18287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28</xdr:row>
      <xdr:rowOff>114708</xdr:rowOff>
    </xdr:from>
    <xdr:to>
      <xdr:col>5</xdr:col>
      <xdr:colOff>47246</xdr:colOff>
      <xdr:row>38</xdr:row>
      <xdr:rowOff>41680</xdr:rowOff>
    </xdr:to>
    <xdr:pic>
      <xdr:nvPicPr>
        <xdr:cNvPr id="3" name="Picture 2">
          <a:extLst>
            <a:ext uri="{FF2B5EF4-FFF2-40B4-BE49-F238E27FC236}">
              <a16:creationId xmlns:a16="http://schemas.microsoft.com/office/drawing/2014/main" id="{3BE32EB3-A125-4056-99CA-32DE1E5B0008}"/>
            </a:ext>
          </a:extLst>
        </xdr:cNvPr>
        <xdr:cNvPicPr>
          <a:picLocks noChangeAspect="1"/>
        </xdr:cNvPicPr>
      </xdr:nvPicPr>
      <xdr:blipFill>
        <a:blip xmlns:r="http://schemas.openxmlformats.org/officeDocument/2006/relationships" r:embed="rId1"/>
        <a:stretch>
          <a:fillRect/>
        </a:stretch>
      </xdr:blipFill>
      <xdr:spPr>
        <a:xfrm>
          <a:off x="0" y="5161934"/>
          <a:ext cx="6159633" cy="1729552"/>
        </a:xfrm>
        <a:prstGeom prst="rect">
          <a:avLst/>
        </a:prstGeom>
      </xdr:spPr>
    </xdr:pic>
    <xdr:clientData/>
  </xdr:twoCellAnchor>
  <xdr:twoCellAnchor>
    <xdr:from>
      <xdr:col>5</xdr:col>
      <xdr:colOff>294968</xdr:colOff>
      <xdr:row>28</xdr:row>
      <xdr:rowOff>176980</xdr:rowOff>
    </xdr:from>
    <xdr:to>
      <xdr:col>9</xdr:col>
      <xdr:colOff>1114322</xdr:colOff>
      <xdr:row>50</xdr:row>
      <xdr:rowOff>106516</xdr:rowOff>
    </xdr:to>
    <xdr:graphicFrame macro="">
      <xdr:nvGraphicFramePr>
        <xdr:cNvPr id="5" name="Chart 4">
          <a:extLst>
            <a:ext uri="{FF2B5EF4-FFF2-40B4-BE49-F238E27FC236}">
              <a16:creationId xmlns:a16="http://schemas.microsoft.com/office/drawing/2014/main" id="{815F8B21-9D87-49AC-AE78-2171500455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1211580</xdr:colOff>
      <xdr:row>48</xdr:row>
      <xdr:rowOff>125730</xdr:rowOff>
    </xdr:from>
    <xdr:to>
      <xdr:col>7</xdr:col>
      <xdr:colOff>1912620</xdr:colOff>
      <xdr:row>70</xdr:row>
      <xdr:rowOff>152400</xdr:rowOff>
    </xdr:to>
    <xdr:graphicFrame macro="">
      <xdr:nvGraphicFramePr>
        <xdr:cNvPr id="2" name="Chart 1">
          <a:extLst>
            <a:ext uri="{FF2B5EF4-FFF2-40B4-BE49-F238E27FC236}">
              <a16:creationId xmlns:a16="http://schemas.microsoft.com/office/drawing/2014/main" id="{F2888D07-5DD6-4CB5-99C2-D2BA13991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1188720</xdr:colOff>
      <xdr:row>36</xdr:row>
      <xdr:rowOff>3908</xdr:rowOff>
    </xdr:from>
    <xdr:to>
      <xdr:col>7</xdr:col>
      <xdr:colOff>970721</xdr:colOff>
      <xdr:row>44</xdr:row>
      <xdr:rowOff>84181</xdr:rowOff>
    </xdr:to>
    <xdr:pic>
      <xdr:nvPicPr>
        <xdr:cNvPr id="3" name="Picture 2">
          <a:extLst>
            <a:ext uri="{FF2B5EF4-FFF2-40B4-BE49-F238E27FC236}">
              <a16:creationId xmlns:a16="http://schemas.microsoft.com/office/drawing/2014/main" id="{10D2901D-4AA2-4455-9AEF-DEC40D63383F}"/>
            </a:ext>
          </a:extLst>
        </xdr:cNvPr>
        <xdr:cNvPicPr>
          <a:picLocks noChangeAspect="1"/>
        </xdr:cNvPicPr>
      </xdr:nvPicPr>
      <xdr:blipFill>
        <a:blip xmlns:r="http://schemas.openxmlformats.org/officeDocument/2006/relationships" r:embed="rId2"/>
        <a:stretch>
          <a:fillRect/>
        </a:stretch>
      </xdr:blipFill>
      <xdr:spPr>
        <a:xfrm>
          <a:off x="5227320" y="6587588"/>
          <a:ext cx="4590221" cy="154331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agarwal" refreshedDate="46178.541457175925" createdVersion="7" refreshedVersion="7" minRefreshableVersion="3" recordCount="366" xr:uid="{B647CDDF-072C-496D-8684-DD074E1F0FF7}">
  <cacheSource type="worksheet">
    <worksheetSource name="All_India_Index_Upto_April23"/>
  </cacheSource>
  <cacheFields count="34">
    <cacheField name="Index" numFmtId="0">
      <sharedItems containsSemiMixedTypes="0" containsString="0" containsNumber="1" containsInteger="1" minValue="1" maxValue="366"/>
    </cacheField>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4">
        <s v="January"/>
        <s v="February"/>
        <s v="March"/>
        <s v="April"/>
        <s v="May"/>
        <s v="June"/>
        <s v="July"/>
        <s v="August"/>
        <s v="September"/>
        <s v="October"/>
        <s v="November "/>
        <s v="November"/>
        <s v="December"/>
        <s v="Marcrh"/>
      </sharedItems>
    </cacheField>
    <cacheField name="Food" numFmtId="164">
      <sharedItems containsSemiMixedTypes="0" containsString="0" containsNumber="1" minValue="1476.7999999999997" maxValue="2539.2999999999997" count="357">
        <n v="1476.7999999999997"/>
        <n v="1481.6000000000001"/>
        <n v="1478.4"/>
        <n v="1485.9999999999998"/>
        <n v="1496.6000000000001"/>
        <n v="1489.9"/>
        <n v="1488.7"/>
        <n v="1493.6"/>
        <n v="1490.6000000000001"/>
        <n v="1492.8999999999999"/>
        <n v="1506.1999999999998"/>
        <n v="1497.7"/>
        <n v="1502.1"/>
        <n v="1526.9999999999998"/>
        <n v="1510.7999999999997"/>
        <n v="1529"/>
        <n v="1575.5000000000002"/>
        <n v="1545.5"/>
        <n v="1555.6999999999996"/>
        <n v="1601.1000000000001"/>
        <n v="1571.6999999999998"/>
        <n v="1573.2"/>
        <n v="1618.5000000000002"/>
        <n v="1588.6000000000001"/>
        <n v="1600.2000000000003"/>
        <n v="1613.3000000000002"/>
        <n v="1603.6999999999998"/>
        <n v="1620.2"/>
        <n v="1630.6999999999998"/>
        <n v="1622.7000000000003"/>
        <n v="1649.6"/>
        <n v="1658.6999999999998"/>
        <n v="1651.8999999999999"/>
        <n v="1622.6"/>
        <n v="1619.4"/>
        <n v="1621.3000000000002"/>
        <n v="1600.6000000000001"/>
        <n v="1600"/>
        <n v="1600.2999999999997"/>
        <n v="1596.4"/>
        <n v="1592.2"/>
        <n v="1594.8"/>
        <n v="1606"/>
        <n v="1599.7"/>
        <n v="1603.4999999999998"/>
        <n v="1619.5000000000002"/>
        <n v="1621.6000000000001"/>
        <n v="1620.1"/>
        <n v="1630.1999999999998"/>
        <n v="1643.6000000000001"/>
        <n v="1635.3000000000004"/>
        <n v="1642.9999999999998"/>
        <n v="1666"/>
        <n v="1651.5000000000002"/>
        <n v="1681.2"/>
        <n v="1720.5"/>
        <n v="1695.1"/>
        <n v="1701.0999999999997"/>
        <n v="1740"/>
        <n v="1714.3999999999999"/>
        <n v="1702.7"/>
        <n v="1718.0000000000002"/>
        <n v="1706.8999999999996"/>
        <n v="1701.1999999999998"/>
        <n v="1711.8"/>
        <n v="1703.8"/>
        <n v="1702.8"/>
        <n v="1713.6"/>
        <n v="1705.3"/>
        <n v="1691.3"/>
        <n v="1703.6"/>
        <n v="1694.6999999999998"/>
        <n v="1690.8"/>
        <n v="1702.3"/>
        <n v="1693.3"/>
        <n v="1694.7999999999997"/>
        <n v="1699.2"/>
        <n v="1694.5999999999997"/>
        <n v="1696.2"/>
        <n v="1696.8000000000002"/>
        <n v="1694.8999999999999"/>
        <n v="1702.9"/>
        <n v="1706.1999999999998"/>
        <n v="1702.6000000000001"/>
        <n v="1714.4"/>
        <n v="1730.2"/>
        <n v="1718.3000000000002"/>
        <n v="1746.1"/>
        <n v="1768.6999999999998"/>
        <n v="1752.7"/>
        <n v="1754.7"/>
        <n v="1775.9999999999998"/>
        <n v="1761.0000000000002"/>
        <n v="1776.6999999999998"/>
        <n v="1793.1"/>
        <n v="1780.8"/>
        <n v="1788.6000000000001"/>
        <n v="1799.5"/>
        <n v="1790.3000000000002"/>
        <n v="1806.1"/>
        <n v="1828.1000000000001"/>
        <n v="1811.4999999999998"/>
        <n v="1818.5"/>
        <n v="1846.0999999999997"/>
        <n v="1825.6999999999998"/>
        <n v="1815.4"/>
        <n v="1837"/>
        <n v="1820.6000000000001"/>
        <n v="1823.7"/>
        <n v="1840.9"/>
        <n v="1826.9"/>
        <n v="1817"/>
        <n v="1816.1"/>
        <n v="1814"/>
        <n v="1817.7000000000003"/>
        <n v="1808.2"/>
        <n v="1811.7"/>
        <n v="1837.1000000000004"/>
        <n v="1847.8"/>
        <n v="1838.3999999999999"/>
        <n v="1859.6999999999998"/>
        <n v="1888.9999999999998"/>
        <n v="1868.1000000000001"/>
        <n v="1885.8"/>
        <n v="1929.7000000000003"/>
        <n v="1899.3"/>
        <n v="1908.2999999999997"/>
        <n v="1954.4000000000003"/>
        <n v="1922.8"/>
        <n v="1916.3999999999999"/>
        <n v="1927.5999999999995"/>
        <n v="1918.1000000000001"/>
        <n v="1910.6000000000001"/>
        <n v="1900.2999999999997"/>
        <n v="1904.6999999999998"/>
        <n v="1912.7000000000003"/>
        <n v="1907.1999999999998"/>
        <n v="1908.5999999999995"/>
        <n v="1905.8"/>
        <n v="1899.5"/>
        <n v="1901.8"/>
        <n v="1891.5"/>
        <n v="1874.8"/>
        <n v="1883.8"/>
        <n v="1880.4"/>
        <n v="1858.8"/>
        <n v="1871.0999999999995"/>
        <n v="1878.2000000000003"/>
        <n v="1851.6000000000001"/>
        <n v="1866.7000000000003"/>
        <n v="1872.7000000000003"/>
        <n v="1853.1999999999998"/>
        <n v="1864"/>
        <n v="1870.7"/>
        <n v="1856.1"/>
        <n v="1863.8000000000002"/>
        <n v="1872.9999999999995"/>
        <n v="1857.8999999999999"/>
        <n v="1865.8000000000002"/>
        <n v="1884.6000000000001"/>
        <n v="1879.6000000000001"/>
        <n v="1881.2"/>
        <n v="1920.3000000000002"/>
        <n v="1918.6"/>
        <n v="1917.6"/>
        <n v="1941.4999999999998"/>
        <n v="1925.0999999999997"/>
        <n v="1933.6"/>
        <n v="1934.1"/>
        <n v="1903.3"/>
        <n v="1920.7999999999997"/>
        <n v="1941.3999999999999"/>
        <n v="1920.2999999999997"/>
        <n v="1931.2999999999997"/>
        <n v="1969.8000000000002"/>
        <n v="1952.9"/>
        <n v="1961.4"/>
        <n v="1966.8000000000002"/>
        <n v="1924.5"/>
        <n v="1949.1999999999998"/>
        <n v="1954.3"/>
        <n v="1906.0000000000002"/>
        <n v="1934.6000000000001"/>
        <n v="1934.8"/>
        <n v="1887.2"/>
        <n v="1915.2999999999997"/>
        <n v="1937.0999999999997"/>
        <n v="1875.2"/>
        <n v="1912.3"/>
        <n v="1936.1"/>
        <n v="1879.2000000000003"/>
        <n v="1914.0000000000002"/>
        <n v="1939.4"/>
        <n v="1883.1999999999998"/>
        <n v="1917.7"/>
        <n v="1947.5999999999997"/>
        <n v="1908.3000000000002"/>
        <n v="1932.4"/>
        <n v="1966.6000000000001"/>
        <n v="1932.5"/>
        <n v="1952.8"/>
        <n v="1975.2"/>
        <n v="1929.6999999999998"/>
        <n v="1956.6000000000004"/>
        <n v="1957.5000000000002"/>
        <n v="1911.7"/>
        <n v="1938.7"/>
        <n v="1941.8"/>
        <n v="1918.1"/>
        <n v="1938.8"/>
        <n v="1949.3999999999996"/>
        <n v="1921.8999999999999"/>
        <n v="1938.3000000000002"/>
        <n v="1935.5000000000002"/>
        <n v="1911.1999999999998"/>
        <n v="1925.7999999999997"/>
        <n v="1922.3000000000002"/>
        <n v="1909.0000000000002"/>
        <n v="1916.6"/>
        <n v="1922.6000000000001"/>
        <n v="1919.3000000000002"/>
        <n v="1920.5"/>
        <n v="1924.1000000000004"/>
        <n v="1933.7"/>
        <n v="1926.4"/>
        <n v="1945.4"/>
        <n v="1977.7000000000003"/>
        <n v="1956.0000000000002"/>
        <n v="1968.3999999999999"/>
        <n v="1999.9999999999998"/>
        <n v="1979.0000000000002"/>
        <n v="1991.3999999999999"/>
        <n v="2024.6"/>
        <n v="2002.7"/>
        <n v="1999.6000000000001"/>
        <n v="2037"/>
        <n v="2012.3"/>
        <n v="2014.4"/>
        <n v="2043.5"/>
        <n v="2024.1999999999998"/>
        <n v="2043.1999999999996"/>
        <n v="2071.9"/>
        <n v="2052.6999999999998"/>
        <n v="2071.8000000000002"/>
        <n v="2093.8999999999996"/>
        <n v="2078.8000000000002"/>
        <n v="2108.7999999999997"/>
        <n v="2127.1"/>
        <n v="2114.6000000000004"/>
        <n v="2107.1999999999998"/>
        <n v="2116.1999999999998"/>
        <n v="2109.6"/>
        <n v="2079.1999999999998"/>
        <n v="2088.6"/>
        <n v="2081.6999999999998"/>
        <n v="2065.0999999999995"/>
        <n v="2066.6"/>
        <n v="2133.4"/>
        <n v="2181.6999999999998"/>
        <n v="2150.3000000000002"/>
        <n v="2159.5"/>
        <n v="2212.1"/>
        <n v="2177.7999999999997"/>
        <n v="2170.2999999999997"/>
        <n v="2230.3000000000002"/>
        <n v="2191.4"/>
        <n v="2213.6"/>
        <n v="2268.8999999999996"/>
        <n v="2232.9000000000005"/>
        <n v="2265.8000000000002"/>
        <n v="2309.5"/>
        <n v="2280.4"/>
        <n v="2284.1"/>
        <n v="2315.6"/>
        <n v="2294.5"/>
        <n v="2250.2999999999997"/>
        <n v="2288.8000000000002"/>
        <n v="2263"/>
        <n v="2211.8000000000002"/>
        <n v="2259.3000000000002"/>
        <n v="2227.6000000000004"/>
        <n v="2257.9999999999995"/>
        <n v="2227.5"/>
        <n v="2236.3000000000002"/>
        <n v="2284"/>
        <n v="2252.9"/>
        <n v="2284.8999999999996"/>
        <n v="2322.9"/>
        <n v="2297.6000000000004"/>
        <n v="2311.6999999999998"/>
        <n v="2349.7999999999997"/>
        <n v="2324.7000000000003"/>
        <n v="2322.1"/>
        <n v="2367.3000000000002"/>
        <n v="2338.1999999999998"/>
        <n v="2321"/>
        <n v="2354.4"/>
        <n v="2334.1"/>
        <n v="2324.1"/>
        <n v="2355.3999999999996"/>
        <n v="2395.4000000000005"/>
        <n v="2368.1999999999998"/>
        <n v="2373.4"/>
        <n v="2414.8999999999996"/>
        <n v="2387"/>
        <n v="2359"/>
        <n v="2403.1000000000004"/>
        <n v="2373.3000000000002"/>
        <n v="2343.6999999999998"/>
        <n v="2383.1"/>
        <n v="2356.3999999999996"/>
        <n v="2341.9"/>
        <n v="2380"/>
        <n v="2354.0000000000005"/>
        <n v="2371.4000000000005"/>
        <n v="2393.8000000000002"/>
        <n v="2377.9"/>
        <n v="2399.4"/>
        <n v="2427.5"/>
        <n v="2408.2000000000003"/>
        <n v="2419.7000000000003"/>
        <n v="2459.7000000000003"/>
        <n v="2433.0000000000005"/>
        <n v="2441.2000000000003"/>
        <n v="2485.8000000000002"/>
        <n v="2456.2000000000003"/>
        <n v="2445.6999999999998"/>
        <n v="2490.1999999999998"/>
        <n v="2460.9"/>
        <n v="2449.4999999999995"/>
        <n v="2492.3999999999996"/>
        <n v="2464.2000000000003"/>
        <n v="2462.3000000000002"/>
        <n v="2506.1"/>
        <n v="2476.8000000000002"/>
        <n v="2479.4"/>
        <n v="2522.4"/>
        <n v="2493.6000000000004"/>
        <n v="2483.1999999999998"/>
        <n v="2515"/>
        <n v="2493.7000000000003"/>
        <n v="2473"/>
        <n v="2496.8999999999996"/>
        <n v="2480.7000000000003"/>
        <n v="2480.1000000000004"/>
        <n v="2511.8000000000002"/>
        <n v="2490.8999999999996"/>
        <n v="2464"/>
        <n v="2505.8999999999996"/>
        <n v="2478.6"/>
        <n v="2478.6999999999998"/>
        <n v="2473.6999999999998"/>
        <n v="2521.2000000000003"/>
        <n v="2490.2000000000003"/>
        <n v="2490.6000000000008"/>
        <n v="2539.2999999999997"/>
        <n v="2507.9"/>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 name="Inflation Rate" numFmtId="164">
      <sharedItems containsSemiMixedTypes="0" containsString="0" containsNumber="1" minValue="154.01071428571427" maxValue="262.8"/>
    </cacheField>
    <cacheField name="MonthDate" numFmtId="14">
      <sharedItems containsDate="1" containsMixedTypes="1" minDate="2013-01-01T00:00:00" maxDate="2023-05-02T00:00:00" count="123">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e v="#VALUE!"/>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107.5"/>
    <n v="106.3"/>
    <n v="108.1"/>
    <n v="104.9"/>
    <n v="106.1"/>
    <n v="103.9"/>
    <n v="101.9"/>
    <n v="106.1"/>
    <n v="106.8"/>
    <n v="103.1"/>
    <n v="104.8"/>
    <n v="106.7"/>
    <n v="105.5"/>
    <n v="105.1"/>
    <n v="106.5"/>
    <n v="105.8"/>
    <n v="106.4"/>
    <n v="139.12"/>
    <n v="105.5"/>
    <n v="104.8"/>
    <n v="104"/>
    <n v="103.3"/>
    <n v="103.4"/>
    <n v="103.8"/>
    <n v="104.7"/>
    <n v="104"/>
    <n v="105.1"/>
    <n v="155.35785714285717"/>
    <x v="0"/>
  </r>
  <r>
    <n v="2"/>
    <x v="1"/>
    <x v="0"/>
    <x v="0"/>
    <x v="1"/>
    <n v="110.5"/>
    <n v="109.1"/>
    <n v="113"/>
    <n v="103.6"/>
    <n v="103.4"/>
    <n v="102.3"/>
    <n v="102.9"/>
    <n v="105.8"/>
    <n v="105.1"/>
    <n v="101.8"/>
    <n v="105.1"/>
    <n v="107.9"/>
    <n v="105.9"/>
    <n v="105.2"/>
    <n v="105.9"/>
    <n v="105"/>
    <n v="105.8"/>
    <n v="100.3"/>
    <n v="105.4"/>
    <n v="104.8"/>
    <n v="104.1"/>
    <n v="103.2"/>
    <n v="102.9"/>
    <n v="103.5"/>
    <n v="104.3"/>
    <n v="103.7"/>
    <n v="104"/>
    <n v="154.14642857142857"/>
    <x v="0"/>
  </r>
  <r>
    <n v="3"/>
    <x v="2"/>
    <x v="0"/>
    <x v="0"/>
    <x v="2"/>
    <n v="108.4"/>
    <n v="107.3"/>
    <n v="110"/>
    <n v="104.4"/>
    <n v="105.1"/>
    <n v="103.2"/>
    <n v="102.2"/>
    <n v="106"/>
    <n v="106.2"/>
    <n v="102.7"/>
    <n v="104.9"/>
    <n v="107.3"/>
    <n v="105.6"/>
    <n v="105.1"/>
    <n v="106.3"/>
    <n v="105.5"/>
    <n v="106.2"/>
    <n v="100.3"/>
    <n v="105.5"/>
    <n v="104.8"/>
    <n v="104"/>
    <n v="103.2"/>
    <n v="103.1"/>
    <n v="103.6"/>
    <n v="104.5"/>
    <n v="103.9"/>
    <n v="104.6"/>
    <n v="154.01071428571427"/>
    <x v="0"/>
  </r>
  <r>
    <n v="4"/>
    <x v="0"/>
    <x v="0"/>
    <x v="1"/>
    <x v="3"/>
    <n v="109.2"/>
    <n v="108.7"/>
    <n v="110.2"/>
    <n v="105.4"/>
    <n v="106.7"/>
    <n v="104"/>
    <n v="102.4"/>
    <n v="105.9"/>
    <n v="105.7"/>
    <n v="103.1"/>
    <n v="105.1"/>
    <n v="107.7"/>
    <n v="106.3"/>
    <n v="105.6"/>
    <n v="107.1"/>
    <n v="106.3"/>
    <n v="107"/>
    <n v="139.12"/>
    <n v="106.2"/>
    <n v="105.2"/>
    <n v="104.4"/>
    <n v="103.9"/>
    <n v="104"/>
    <n v="104.1"/>
    <n v="104.6"/>
    <n v="104.4"/>
    <n v="105.8"/>
    <n v="156.21857142857138"/>
    <x v="1"/>
  </r>
  <r>
    <n v="5"/>
    <x v="1"/>
    <x v="0"/>
    <x v="1"/>
    <x v="4"/>
    <n v="112.9"/>
    <n v="112.9"/>
    <n v="116.9"/>
    <n v="104"/>
    <n v="103.5"/>
    <n v="103.1"/>
    <n v="104.9"/>
    <n v="104.1"/>
    <n v="103.8"/>
    <n v="102.3"/>
    <n v="106"/>
    <n v="109"/>
    <n v="107.2"/>
    <n v="106"/>
    <n v="106.6"/>
    <n v="105.5"/>
    <n v="106.4"/>
    <n v="100.4"/>
    <n v="105.7"/>
    <n v="105.2"/>
    <n v="104.7"/>
    <n v="104.4"/>
    <n v="103.3"/>
    <n v="103.7"/>
    <n v="104.3"/>
    <n v="104.3"/>
    <n v="104.7"/>
    <n v="155.44285714285715"/>
    <x v="1"/>
  </r>
  <r>
    <n v="6"/>
    <x v="2"/>
    <x v="0"/>
    <x v="1"/>
    <x v="5"/>
    <n v="110.4"/>
    <n v="110.2"/>
    <n v="112.8"/>
    <n v="104.9"/>
    <n v="105.5"/>
    <n v="103.6"/>
    <n v="103.2"/>
    <n v="105.3"/>
    <n v="105.1"/>
    <n v="102.8"/>
    <n v="105.5"/>
    <n v="108.3"/>
    <n v="106.6"/>
    <n v="105.7"/>
    <n v="106.9"/>
    <n v="106"/>
    <n v="106.8"/>
    <n v="100.4"/>
    <n v="106"/>
    <n v="105.2"/>
    <n v="104.5"/>
    <n v="104.2"/>
    <n v="103.6"/>
    <n v="103.9"/>
    <n v="104.5"/>
    <n v="104.4"/>
    <n v="105.3"/>
    <n v="155.05357142857142"/>
    <x v="1"/>
  </r>
  <r>
    <n v="7"/>
    <x v="0"/>
    <x v="0"/>
    <x v="2"/>
    <x v="6"/>
    <n v="110.2"/>
    <n v="108.8"/>
    <n v="109.9"/>
    <n v="105.6"/>
    <n v="106.2"/>
    <n v="105.7"/>
    <n v="101.4"/>
    <n v="105.7"/>
    <n v="105"/>
    <n v="103.3"/>
    <n v="105.6"/>
    <n v="108.2"/>
    <n v="106.6"/>
    <n v="106.5"/>
    <n v="107.6"/>
    <n v="106.8"/>
    <n v="107.5"/>
    <n v="139.12"/>
    <n v="106.1"/>
    <n v="105.6"/>
    <n v="104.7"/>
    <n v="104.6"/>
    <n v="104"/>
    <n v="104.3"/>
    <n v="104.3"/>
    <n v="104.6"/>
    <n v="106"/>
    <n v="156.52214285714285"/>
    <x v="2"/>
  </r>
  <r>
    <n v="8"/>
    <x v="1"/>
    <x v="0"/>
    <x v="2"/>
    <x v="7"/>
    <n v="113.9"/>
    <n v="111.4"/>
    <n v="113.2"/>
    <n v="104.3"/>
    <n v="102.7"/>
    <n v="104.9"/>
    <n v="103.8"/>
    <n v="103.5"/>
    <n v="102.6"/>
    <n v="102.4"/>
    <n v="107"/>
    <n v="109.8"/>
    <n v="107.3"/>
    <n v="106.8"/>
    <n v="107.2"/>
    <n v="106"/>
    <n v="107"/>
    <n v="100.4"/>
    <n v="106"/>
    <n v="105.7"/>
    <n v="105.2"/>
    <n v="105.5"/>
    <n v="103.5"/>
    <n v="103.8"/>
    <n v="104.2"/>
    <n v="104.9"/>
    <n v="105"/>
    <n v="155.41428571428574"/>
    <x v="2"/>
  </r>
  <r>
    <n v="9"/>
    <x v="2"/>
    <x v="0"/>
    <x v="2"/>
    <x v="8"/>
    <n v="111.4"/>
    <n v="109.7"/>
    <n v="111.2"/>
    <n v="105.1"/>
    <n v="104.9"/>
    <n v="105.3"/>
    <n v="102.2"/>
    <n v="105"/>
    <n v="104.2"/>
    <n v="103"/>
    <n v="106.2"/>
    <n v="108.9"/>
    <n v="106.9"/>
    <n v="106.6"/>
    <n v="107.4"/>
    <n v="106.5"/>
    <n v="107.3"/>
    <n v="100.4"/>
    <n v="106.1"/>
    <n v="105.6"/>
    <n v="104.9"/>
    <n v="105.1"/>
    <n v="103.7"/>
    <n v="104"/>
    <n v="104.3"/>
    <n v="104.7"/>
    <n v="105.5"/>
    <n v="155.2392857142857"/>
    <x v="2"/>
  </r>
  <r>
    <n v="10"/>
    <x v="0"/>
    <x v="0"/>
    <x v="3"/>
    <x v="9"/>
    <n v="110.2"/>
    <n v="109.5"/>
    <n v="106.9"/>
    <n v="106.3"/>
    <n v="105.7"/>
    <n v="108.3"/>
    <n v="103.4"/>
    <n v="105.7"/>
    <n v="104.2"/>
    <n v="103.2"/>
    <n v="106.5"/>
    <n v="108.8"/>
    <n v="107.1"/>
    <n v="107.1"/>
    <n v="108.1"/>
    <n v="107.4"/>
    <n v="108"/>
    <n v="139.12"/>
    <n v="106.5"/>
    <n v="106.1"/>
    <n v="105.1"/>
    <n v="104.4"/>
    <n v="104.5"/>
    <n v="104.8"/>
    <n v="102.7"/>
    <n v="104.6"/>
    <n v="106.4"/>
    <n v="156.91142857142856"/>
    <x v="3"/>
  </r>
  <r>
    <n v="11"/>
    <x v="1"/>
    <x v="0"/>
    <x v="3"/>
    <x v="10"/>
    <n v="114.6"/>
    <n v="113.4"/>
    <n v="106"/>
    <n v="104.7"/>
    <n v="102.1"/>
    <n v="109.5"/>
    <n v="109.7"/>
    <n v="104.6"/>
    <n v="102"/>
    <n v="103.5"/>
    <n v="108.2"/>
    <n v="110.6"/>
    <n v="108.8"/>
    <n v="108.5"/>
    <n v="107.9"/>
    <n v="106.4"/>
    <n v="107.7"/>
    <n v="100.5"/>
    <n v="106.4"/>
    <n v="106.5"/>
    <n v="105.7"/>
    <n v="105"/>
    <n v="104"/>
    <n v="105.2"/>
    <n v="103.2"/>
    <n v="105.1"/>
    <n v="105.7"/>
    <n v="156.4892857142857"/>
    <x v="3"/>
  </r>
  <r>
    <n v="12"/>
    <x v="2"/>
    <x v="0"/>
    <x v="3"/>
    <x v="11"/>
    <n v="111.6"/>
    <n v="110.9"/>
    <n v="106.6"/>
    <n v="105.7"/>
    <n v="104.4"/>
    <n v="108.9"/>
    <n v="105.5"/>
    <n v="105.3"/>
    <n v="103.5"/>
    <n v="103.3"/>
    <n v="107.2"/>
    <n v="109.6"/>
    <n v="107.7"/>
    <n v="107.5"/>
    <n v="108"/>
    <n v="107"/>
    <n v="107.9"/>
    <n v="100.5"/>
    <n v="106.5"/>
    <n v="106.3"/>
    <n v="105.3"/>
    <n v="104.7"/>
    <n v="104.2"/>
    <n v="105"/>
    <n v="102.9"/>
    <n v="104.8"/>
    <n v="106.1"/>
    <n v="155.87857142857143"/>
    <x v="3"/>
  </r>
  <r>
    <n v="13"/>
    <x v="0"/>
    <x v="0"/>
    <x v="4"/>
    <x v="12"/>
    <n v="110.9"/>
    <n v="109.8"/>
    <n v="105.9"/>
    <n v="107.5"/>
    <n v="105.3"/>
    <n v="108.1"/>
    <n v="107.3"/>
    <n v="106.1"/>
    <n v="103.7"/>
    <n v="104"/>
    <n v="107.4"/>
    <n v="109.9"/>
    <n v="108.1"/>
    <n v="108.1"/>
    <n v="108.8"/>
    <n v="107.9"/>
    <n v="108.6"/>
    <n v="139.12"/>
    <n v="107.5"/>
    <n v="106.8"/>
    <n v="105.7"/>
    <n v="104.1"/>
    <n v="105"/>
    <n v="105.5"/>
    <n v="102.1"/>
    <n v="104.8"/>
    <n v="107.2"/>
    <n v="157.76142857142855"/>
    <x v="4"/>
  </r>
  <r>
    <n v="14"/>
    <x v="1"/>
    <x v="0"/>
    <x v="4"/>
    <x v="13"/>
    <n v="115.4"/>
    <n v="114.2"/>
    <n v="102.7"/>
    <n v="105.5"/>
    <n v="101.5"/>
    <n v="110.6"/>
    <n v="123.7"/>
    <n v="105.2"/>
    <n v="101.9"/>
    <n v="105"/>
    <n v="109.1"/>
    <n v="111.3"/>
    <n v="111.1"/>
    <n v="109.8"/>
    <n v="108.5"/>
    <n v="106.7"/>
    <n v="108.3"/>
    <n v="100.5"/>
    <n v="107.2"/>
    <n v="107.1"/>
    <n v="106.2"/>
    <n v="103.9"/>
    <n v="104.6"/>
    <n v="105.7"/>
    <n v="102.6"/>
    <n v="104.9"/>
    <n v="106.6"/>
    <n v="158.1"/>
    <x v="4"/>
  </r>
  <r>
    <n v="15"/>
    <x v="2"/>
    <x v="0"/>
    <x v="4"/>
    <x v="14"/>
    <n v="112.3"/>
    <n v="111.3"/>
    <n v="104.7"/>
    <n v="106.8"/>
    <n v="103.9"/>
    <n v="109.3"/>
    <n v="112.9"/>
    <n v="105.8"/>
    <n v="103.1"/>
    <n v="104.3"/>
    <n v="108.1"/>
    <n v="110.5"/>
    <n v="109.2"/>
    <n v="108.6"/>
    <n v="108.7"/>
    <n v="107.4"/>
    <n v="108.5"/>
    <n v="100.5"/>
    <n v="107.4"/>
    <n v="106.9"/>
    <n v="105.9"/>
    <n v="104"/>
    <n v="104.8"/>
    <n v="105.6"/>
    <n v="102.3"/>
    <n v="104.8"/>
    <n v="106.9"/>
    <n v="156.97499999999999"/>
    <x v="4"/>
  </r>
  <r>
    <n v="16"/>
    <x v="0"/>
    <x v="0"/>
    <x v="5"/>
    <x v="15"/>
    <n v="112.3"/>
    <n v="112.1"/>
    <n v="108.1"/>
    <n v="108.3"/>
    <n v="105.9"/>
    <n v="109.2"/>
    <n v="118"/>
    <n v="106.8"/>
    <n v="104.1"/>
    <n v="105.4"/>
    <n v="108.2"/>
    <n v="111"/>
    <n v="110.6"/>
    <n v="109"/>
    <n v="109.7"/>
    <n v="108.8"/>
    <n v="109.5"/>
    <n v="139.12"/>
    <n v="108.5"/>
    <n v="107.5"/>
    <n v="106.3"/>
    <n v="105"/>
    <n v="105.6"/>
    <n v="106.5"/>
    <n v="102.5"/>
    <n v="105.5"/>
    <n v="108.9"/>
    <n v="160.05071428571426"/>
    <x v="5"/>
  </r>
  <r>
    <n v="17"/>
    <x v="1"/>
    <x v="0"/>
    <x v="5"/>
    <x v="16"/>
    <n v="117"/>
    <n v="120.1"/>
    <n v="112.5"/>
    <n v="107.3"/>
    <n v="101.3"/>
    <n v="112.4"/>
    <n v="143.6"/>
    <n v="105.4"/>
    <n v="101.4"/>
    <n v="106.4"/>
    <n v="110"/>
    <n v="112.2"/>
    <n v="115"/>
    <n v="110.9"/>
    <n v="109.2"/>
    <n v="107.2"/>
    <n v="108.9"/>
    <n v="106.6"/>
    <n v="108"/>
    <n v="107.7"/>
    <n v="106.5"/>
    <n v="105.2"/>
    <n v="105.2"/>
    <n v="108.1"/>
    <n v="103.3"/>
    <n v="106.1"/>
    <n v="109.7"/>
    <n v="162.23928571428573"/>
    <x v="5"/>
  </r>
  <r>
    <n v="18"/>
    <x v="2"/>
    <x v="0"/>
    <x v="5"/>
    <x v="17"/>
    <n v="113.8"/>
    <n v="114.9"/>
    <n v="109.8"/>
    <n v="107.9"/>
    <n v="104.2"/>
    <n v="110.7"/>
    <n v="126.7"/>
    <n v="106.3"/>
    <n v="103.2"/>
    <n v="105.7"/>
    <n v="109"/>
    <n v="111.6"/>
    <n v="112.2"/>
    <n v="109.5"/>
    <n v="109.5"/>
    <n v="108.1"/>
    <n v="109.3"/>
    <n v="106.6"/>
    <n v="108.3"/>
    <n v="107.6"/>
    <n v="106.4"/>
    <n v="105.1"/>
    <n v="105.4"/>
    <n v="107.4"/>
    <n v="102.8"/>
    <n v="105.8"/>
    <n v="109.3"/>
    <n v="160.09285714285713"/>
    <x v="5"/>
  </r>
  <r>
    <n v="19"/>
    <x v="0"/>
    <x v="0"/>
    <x v="6"/>
    <x v="18"/>
    <n v="113.4"/>
    <n v="114.9"/>
    <n v="110.5"/>
    <n v="109.3"/>
    <n v="106.2"/>
    <n v="110.3"/>
    <n v="129.19999999999999"/>
    <n v="107.1"/>
    <n v="104.3"/>
    <n v="106.4"/>
    <n v="109.1"/>
    <n v="112.1"/>
    <n v="113.1"/>
    <n v="109.8"/>
    <n v="110.5"/>
    <n v="109.5"/>
    <n v="110.3"/>
    <n v="139.12"/>
    <n v="109.5"/>
    <n v="108.3"/>
    <n v="106.9"/>
    <n v="106.8"/>
    <n v="106.4"/>
    <n v="107.8"/>
    <n v="102.5"/>
    <n v="106.5"/>
    <n v="110.7"/>
    <n v="162.36500000000001"/>
    <x v="6"/>
  </r>
  <r>
    <n v="20"/>
    <x v="1"/>
    <x v="0"/>
    <x v="6"/>
    <x v="19"/>
    <n v="117.8"/>
    <n v="119.2"/>
    <n v="114"/>
    <n v="108.3"/>
    <n v="101.1"/>
    <n v="113.2"/>
    <n v="160.9"/>
    <n v="105.1"/>
    <n v="101.3"/>
    <n v="107.5"/>
    <n v="110.4"/>
    <n v="113.1"/>
    <n v="117.5"/>
    <n v="111.7"/>
    <n v="109.8"/>
    <n v="107.8"/>
    <n v="109.5"/>
    <n v="107.7"/>
    <n v="108.6"/>
    <n v="108.1"/>
    <n v="107.1"/>
    <n v="107.3"/>
    <n v="105.9"/>
    <n v="110.1"/>
    <n v="103.2"/>
    <n v="107.3"/>
    <n v="111.4"/>
    <n v="164.5"/>
    <x v="6"/>
  </r>
  <r>
    <n v="21"/>
    <x v="2"/>
    <x v="0"/>
    <x v="6"/>
    <x v="20"/>
    <n v="114.8"/>
    <n v="116.4"/>
    <n v="111.9"/>
    <n v="108.9"/>
    <n v="104.3"/>
    <n v="111.7"/>
    <n v="140"/>
    <n v="106.4"/>
    <n v="103.3"/>
    <n v="106.8"/>
    <n v="109.6"/>
    <n v="112.6"/>
    <n v="114.7"/>
    <n v="110.3"/>
    <n v="110.2"/>
    <n v="108.8"/>
    <n v="110"/>
    <n v="107.7"/>
    <n v="109.2"/>
    <n v="108.2"/>
    <n v="107"/>
    <n v="107.1"/>
    <n v="106.1"/>
    <n v="109.1"/>
    <n v="102.8"/>
    <n v="106.9"/>
    <n v="111"/>
    <n v="162.41071428571428"/>
    <x v="6"/>
  </r>
  <r>
    <n v="22"/>
    <x v="0"/>
    <x v="0"/>
    <x v="7"/>
    <x v="21"/>
    <n v="114.3"/>
    <n v="115.4"/>
    <n v="111.1"/>
    <n v="110"/>
    <n v="106.4"/>
    <n v="110.8"/>
    <n v="138.9"/>
    <n v="107.4"/>
    <n v="104.1"/>
    <n v="106.9"/>
    <n v="109.7"/>
    <n v="112.6"/>
    <n v="114.9"/>
    <n v="110.7"/>
    <n v="111.3"/>
    <n v="110.2"/>
    <n v="111.1"/>
    <n v="139.12"/>
    <n v="109.9"/>
    <n v="108.7"/>
    <n v="107.5"/>
    <n v="107.8"/>
    <n v="106.8"/>
    <n v="108.7"/>
    <n v="105"/>
    <n v="107.5"/>
    <n v="112.1"/>
    <n v="164.00428571428571"/>
    <x v="7"/>
  </r>
  <r>
    <n v="23"/>
    <x v="1"/>
    <x v="0"/>
    <x v="7"/>
    <x v="22"/>
    <n v="118.3"/>
    <n v="120.4"/>
    <n v="112.7"/>
    <n v="108.9"/>
    <n v="101.1"/>
    <n v="108.7"/>
    <n v="177"/>
    <n v="104.7"/>
    <n v="101"/>
    <n v="108.5"/>
    <n v="110.9"/>
    <n v="114.3"/>
    <n v="119.6"/>
    <n v="112.4"/>
    <n v="110.6"/>
    <n v="108.3"/>
    <n v="110.2"/>
    <n v="108.9"/>
    <n v="109.3"/>
    <n v="108.7"/>
    <n v="107.6"/>
    <n v="108.1"/>
    <n v="106.5"/>
    <n v="110.8"/>
    <n v="106"/>
    <n v="108.3"/>
    <n v="112.7"/>
    <n v="166.17857142857142"/>
    <x v="7"/>
  </r>
  <r>
    <n v="24"/>
    <x v="2"/>
    <x v="0"/>
    <x v="7"/>
    <x v="23"/>
    <n v="115.6"/>
    <n v="117.2"/>
    <n v="111.7"/>
    <n v="109.6"/>
    <n v="104.5"/>
    <n v="109.8"/>
    <n v="151.80000000000001"/>
    <n v="106.5"/>
    <n v="103.1"/>
    <n v="107.4"/>
    <n v="110.2"/>
    <n v="113.4"/>
    <n v="116.6"/>
    <n v="111.2"/>
    <n v="111"/>
    <n v="109.4"/>
    <n v="110.7"/>
    <n v="108.9"/>
    <n v="109.7"/>
    <n v="108.7"/>
    <n v="107.5"/>
    <n v="108"/>
    <n v="106.6"/>
    <n v="109.9"/>
    <n v="105.4"/>
    <n v="107.9"/>
    <n v="112.4"/>
    <n v="164.04642857142852"/>
    <x v="7"/>
  </r>
  <r>
    <n v="25"/>
    <x v="0"/>
    <x v="0"/>
    <x v="8"/>
    <x v="24"/>
    <n v="115.4"/>
    <n v="115.7"/>
    <n v="111.7"/>
    <n v="111"/>
    <n v="107.4"/>
    <n v="110.9"/>
    <n v="154"/>
    <n v="108.1"/>
    <n v="104.2"/>
    <n v="107.9"/>
    <n v="110.4"/>
    <n v="114"/>
    <n v="117.8"/>
    <n v="111.7"/>
    <n v="112.7"/>
    <n v="111.4"/>
    <n v="112.5"/>
    <n v="139.12"/>
    <n v="111.1"/>
    <n v="109.6"/>
    <n v="108.3"/>
    <n v="109.3"/>
    <n v="107.7"/>
    <n v="109.8"/>
    <n v="106.7"/>
    <n v="108.7"/>
    <n v="114.2"/>
    <n v="166.48285714285711"/>
    <x v="8"/>
  </r>
  <r>
    <n v="26"/>
    <x v="1"/>
    <x v="0"/>
    <x v="8"/>
    <x v="25"/>
    <n v="118.6"/>
    <n v="119.1"/>
    <n v="113.2"/>
    <n v="109.6"/>
    <n v="101.7"/>
    <n v="103.2"/>
    <n v="174.3"/>
    <n v="105.1"/>
    <n v="100.8"/>
    <n v="109.1"/>
    <n v="111.1"/>
    <n v="115.4"/>
    <n v="119.2"/>
    <n v="112.9"/>
    <n v="111.4"/>
    <n v="109"/>
    <n v="111.1"/>
    <n v="109.7"/>
    <n v="109.5"/>
    <n v="109.6"/>
    <n v="107.9"/>
    <n v="110.4"/>
    <n v="107.4"/>
    <n v="111.2"/>
    <n v="106.9"/>
    <n v="109.4"/>
    <n v="113.2"/>
    <n v="166.18928571428566"/>
    <x v="8"/>
  </r>
  <r>
    <n v="27"/>
    <x v="2"/>
    <x v="0"/>
    <x v="8"/>
    <x v="26"/>
    <n v="116.4"/>
    <n v="116.9"/>
    <n v="112.3"/>
    <n v="110.5"/>
    <n v="105.3"/>
    <n v="107.3"/>
    <n v="160.9"/>
    <n v="107.1"/>
    <n v="103.1"/>
    <n v="108.3"/>
    <n v="110.7"/>
    <n v="114.6"/>
    <n v="118.3"/>
    <n v="112"/>
    <n v="112.2"/>
    <n v="110.4"/>
    <n v="111.9"/>
    <n v="109.7"/>
    <n v="110.5"/>
    <n v="109.6"/>
    <n v="108.1"/>
    <n v="109.9"/>
    <n v="107.5"/>
    <n v="110.6"/>
    <n v="106.8"/>
    <n v="109"/>
    <n v="113.7"/>
    <n v="165.61785714285719"/>
    <x v="8"/>
  </r>
  <r>
    <n v="28"/>
    <x v="0"/>
    <x v="0"/>
    <x v="9"/>
    <x v="27"/>
    <n v="116.3"/>
    <n v="115.4"/>
    <n v="112.6"/>
    <n v="111.7"/>
    <n v="107.7"/>
    <n v="113.2"/>
    <n v="164.9"/>
    <n v="108.3"/>
    <n v="103.9"/>
    <n v="108.2"/>
    <n v="111.1"/>
    <n v="114.9"/>
    <n v="119.8"/>
    <n v="112.2"/>
    <n v="113.6"/>
    <n v="112.3"/>
    <n v="113.4"/>
    <n v="139.12"/>
    <n v="111.6"/>
    <n v="110.4"/>
    <n v="108.9"/>
    <n v="109.3"/>
    <n v="108.3"/>
    <n v="110.2"/>
    <n v="107.5"/>
    <n v="109.1"/>
    <n v="115.5"/>
    <n v="168.20071428571427"/>
    <x v="9"/>
  </r>
  <r>
    <n v="29"/>
    <x v="1"/>
    <x v="0"/>
    <x v="9"/>
    <x v="28"/>
    <n v="118.9"/>
    <n v="118.1"/>
    <n v="114.5"/>
    <n v="110.4"/>
    <n v="102.3"/>
    <n v="106.2"/>
    <n v="183.5"/>
    <n v="105.3"/>
    <n v="100.2"/>
    <n v="109.6"/>
    <n v="111.4"/>
    <n v="116"/>
    <n v="120.8"/>
    <n v="113.5"/>
    <n v="112.5"/>
    <n v="109.7"/>
    <n v="112"/>
    <n v="110.5"/>
    <n v="109.7"/>
    <n v="110.2"/>
    <n v="108.2"/>
    <n v="109.7"/>
    <n v="108"/>
    <n v="111.3"/>
    <n v="107.3"/>
    <n v="109.4"/>
    <n v="114"/>
    <n v="167.63928571428571"/>
    <x v="9"/>
  </r>
  <r>
    <n v="30"/>
    <x v="2"/>
    <x v="0"/>
    <x v="9"/>
    <x v="29"/>
    <n v="117.1"/>
    <n v="116.3"/>
    <n v="113.3"/>
    <n v="111.2"/>
    <n v="105.7"/>
    <n v="109.9"/>
    <n v="171.2"/>
    <n v="107.3"/>
    <n v="102.7"/>
    <n v="108.7"/>
    <n v="111.2"/>
    <n v="115.4"/>
    <n v="120.2"/>
    <n v="112.5"/>
    <n v="113.2"/>
    <n v="111.2"/>
    <n v="112.8"/>
    <n v="110.5"/>
    <n v="110.9"/>
    <n v="110.3"/>
    <n v="108.6"/>
    <n v="109.5"/>
    <n v="108.1"/>
    <n v="110.8"/>
    <n v="107.4"/>
    <n v="109.2"/>
    <n v="114.8"/>
    <n v="167.2392857142857"/>
    <x v="9"/>
  </r>
  <r>
    <n v="31"/>
    <x v="0"/>
    <x v="0"/>
    <x v="10"/>
    <x v="30"/>
    <n v="117.3"/>
    <n v="114.9"/>
    <n v="116.2"/>
    <n v="112.8"/>
    <n v="108.9"/>
    <n v="116.6"/>
    <n v="178.1"/>
    <n v="109.1"/>
    <n v="103.6"/>
    <n v="109"/>
    <n v="111.8"/>
    <n v="116"/>
    <n v="122.5"/>
    <n v="112.8"/>
    <n v="114.6"/>
    <n v="113.1"/>
    <n v="114.4"/>
    <n v="139.12"/>
    <n v="112.6"/>
    <n v="111.3"/>
    <n v="109.7"/>
    <n v="109.6"/>
    <n v="108.7"/>
    <n v="111"/>
    <n v="108.2"/>
    <n v="109.8"/>
    <n v="117.4"/>
    <n v="170.66857142857143"/>
    <x v="10"/>
  </r>
  <r>
    <n v="32"/>
    <x v="1"/>
    <x v="0"/>
    <x v="11"/>
    <x v="31"/>
    <n v="119.8"/>
    <n v="116.3"/>
    <n v="122.6"/>
    <n v="112"/>
    <n v="103.2"/>
    <n v="110"/>
    <n v="192.8"/>
    <n v="106.3"/>
    <n v="99.5"/>
    <n v="110.3"/>
    <n v="111.8"/>
    <n v="117.1"/>
    <n v="122.9"/>
    <n v="114.1"/>
    <n v="113.5"/>
    <n v="110.3"/>
    <n v="113"/>
    <n v="111.1"/>
    <n v="110"/>
    <n v="110.9"/>
    <n v="108.6"/>
    <n v="109.5"/>
    <n v="108.5"/>
    <n v="111.3"/>
    <n v="107.9"/>
    <n v="109.6"/>
    <n v="115"/>
    <n v="169.87857142857143"/>
    <x v="10"/>
  </r>
  <r>
    <n v="33"/>
    <x v="2"/>
    <x v="0"/>
    <x v="11"/>
    <x v="32"/>
    <n v="118.1"/>
    <n v="115.4"/>
    <n v="118.7"/>
    <n v="112.5"/>
    <n v="106.8"/>
    <n v="113.5"/>
    <n v="183.1"/>
    <n v="108.2"/>
    <n v="102.2"/>
    <n v="109.4"/>
    <n v="111.8"/>
    <n v="116.5"/>
    <n v="122.6"/>
    <n v="113.1"/>
    <n v="114.2"/>
    <n v="111.9"/>
    <n v="113.8"/>
    <n v="111.1"/>
    <n v="111.6"/>
    <n v="111.1"/>
    <n v="109.3"/>
    <n v="109.5"/>
    <n v="108.6"/>
    <n v="111.2"/>
    <n v="108.1"/>
    <n v="109.7"/>
    <n v="116.3"/>
    <n v="169.65"/>
    <x v="10"/>
  </r>
  <r>
    <n v="34"/>
    <x v="0"/>
    <x v="0"/>
    <x v="12"/>
    <x v="33"/>
    <n v="118.4"/>
    <n v="115.9"/>
    <n v="120.4"/>
    <n v="113.8"/>
    <n v="109.5"/>
    <n v="115.5"/>
    <n v="145.69999999999999"/>
    <n v="109.5"/>
    <n v="102.9"/>
    <n v="109.8"/>
    <n v="112.1"/>
    <n v="116.8"/>
    <n v="118.7"/>
    <n v="113.6"/>
    <n v="115.8"/>
    <n v="114"/>
    <n v="115.5"/>
    <n v="139.12"/>
    <n v="112.8"/>
    <n v="112.1"/>
    <n v="110.1"/>
    <n v="109.9"/>
    <n v="109.2"/>
    <n v="111.6"/>
    <n v="108.1"/>
    <n v="110.1"/>
    <n v="115.5"/>
    <n v="168.89357142857148"/>
    <x v="11"/>
  </r>
  <r>
    <n v="35"/>
    <x v="1"/>
    <x v="0"/>
    <x v="12"/>
    <x v="34"/>
    <n v="120.5"/>
    <n v="118.1"/>
    <n v="128.5"/>
    <n v="112.8"/>
    <n v="103.4"/>
    <n v="110.7"/>
    <n v="144.80000000000001"/>
    <n v="107.1"/>
    <n v="98.6"/>
    <n v="111.9"/>
    <n v="112.1"/>
    <n v="118.1"/>
    <n v="117.8"/>
    <n v="115"/>
    <n v="114.2"/>
    <n v="110.9"/>
    <n v="113.7"/>
    <n v="110.7"/>
    <n v="110.4"/>
    <n v="111.3"/>
    <n v="109"/>
    <n v="109.7"/>
    <n v="108.9"/>
    <n v="111.4"/>
    <n v="107.7"/>
    <n v="109.8"/>
    <n v="113.3"/>
    <n v="167.13571428571427"/>
    <x v="11"/>
  </r>
  <r>
    <n v="36"/>
    <x v="2"/>
    <x v="0"/>
    <x v="12"/>
    <x v="35"/>
    <n v="119.1"/>
    <n v="116.7"/>
    <n v="123.5"/>
    <n v="113.4"/>
    <n v="107.3"/>
    <n v="113.3"/>
    <n v="145.4"/>
    <n v="108.7"/>
    <n v="101.5"/>
    <n v="110.5"/>
    <n v="112.1"/>
    <n v="117.4"/>
    <n v="118.4"/>
    <n v="114"/>
    <n v="115.2"/>
    <n v="112.7"/>
    <n v="114.8"/>
    <n v="110.7"/>
    <n v="111.9"/>
    <n v="111.7"/>
    <n v="109.7"/>
    <n v="109.8"/>
    <n v="109"/>
    <n v="111.5"/>
    <n v="107.9"/>
    <n v="110"/>
    <n v="114.5"/>
    <n v="167.57142857142853"/>
    <x v="11"/>
  </r>
  <r>
    <n v="37"/>
    <x v="0"/>
    <x v="1"/>
    <x v="0"/>
    <x v="36"/>
    <n v="118.9"/>
    <n v="117.1"/>
    <n v="120.5"/>
    <n v="114.4"/>
    <n v="109"/>
    <n v="115.5"/>
    <n v="123.9"/>
    <n v="109.6"/>
    <n v="101.8"/>
    <n v="110.2"/>
    <n v="112.4"/>
    <n v="117.3"/>
    <n v="116"/>
    <n v="114"/>
    <n v="116.5"/>
    <n v="114.5"/>
    <n v="116.2"/>
    <n v="139.12"/>
    <n v="113"/>
    <n v="112.6"/>
    <n v="110.6"/>
    <n v="110.5"/>
    <n v="109.6"/>
    <n v="111.8"/>
    <n v="108.3"/>
    <n v="110.6"/>
    <n v="114.2"/>
    <n v="167.45428571428573"/>
    <x v="12"/>
  </r>
  <r>
    <n v="38"/>
    <x v="1"/>
    <x v="1"/>
    <x v="0"/>
    <x v="37"/>
    <n v="121.2"/>
    <n v="122"/>
    <n v="129.9"/>
    <n v="113.6"/>
    <n v="102.9"/>
    <n v="112.1"/>
    <n v="118.9"/>
    <n v="107.5"/>
    <n v="96.9"/>
    <n v="112.7"/>
    <n v="112.1"/>
    <n v="119"/>
    <n v="115.5"/>
    <n v="115.7"/>
    <n v="114.8"/>
    <n v="111.3"/>
    <n v="114.3"/>
    <n v="111.6"/>
    <n v="111"/>
    <n v="111.9"/>
    <n v="109.7"/>
    <n v="110.8"/>
    <n v="109.8"/>
    <n v="111.5"/>
    <n v="108"/>
    <n v="110.5"/>
    <n v="112.9"/>
    <n v="166.00357142857143"/>
    <x v="12"/>
  </r>
  <r>
    <n v="39"/>
    <x v="2"/>
    <x v="1"/>
    <x v="0"/>
    <x v="38"/>
    <n v="119.6"/>
    <n v="118.8"/>
    <n v="124.1"/>
    <n v="114.1"/>
    <n v="106.8"/>
    <n v="113.9"/>
    <n v="122.2"/>
    <n v="108.9"/>
    <n v="100.2"/>
    <n v="111"/>
    <n v="112.3"/>
    <n v="118.1"/>
    <n v="115.8"/>
    <n v="114.5"/>
    <n v="115.8"/>
    <n v="113.2"/>
    <n v="115.4"/>
    <n v="111.6"/>
    <n v="112.2"/>
    <n v="112.3"/>
    <n v="110.3"/>
    <n v="110.7"/>
    <n v="109.7"/>
    <n v="111.6"/>
    <n v="108.2"/>
    <n v="110.6"/>
    <n v="113.6"/>
    <n v="166.27857142857147"/>
    <x v="12"/>
  </r>
  <r>
    <n v="40"/>
    <x v="0"/>
    <x v="1"/>
    <x v="1"/>
    <x v="39"/>
    <n v="119.4"/>
    <n v="117.7"/>
    <n v="121.2"/>
    <n v="115"/>
    <n v="109"/>
    <n v="116.6"/>
    <n v="116"/>
    <n v="109.8"/>
    <n v="101.1"/>
    <n v="110.4"/>
    <n v="112.9"/>
    <n v="117.8"/>
    <n v="115.3"/>
    <n v="114.2"/>
    <n v="117.1"/>
    <n v="114.5"/>
    <n v="116.7"/>
    <n v="139.12"/>
    <n v="113.2"/>
    <n v="112.9"/>
    <n v="110.9"/>
    <n v="110.8"/>
    <n v="109.9"/>
    <n v="112"/>
    <n v="108.7"/>
    <n v="110.9"/>
    <n v="114"/>
    <n v="167.26857142857142"/>
    <x v="13"/>
  </r>
  <r>
    <n v="41"/>
    <x v="1"/>
    <x v="1"/>
    <x v="1"/>
    <x v="40"/>
    <n v="121.9"/>
    <n v="122"/>
    <n v="124.5"/>
    <n v="115.2"/>
    <n v="102.5"/>
    <n v="114.1"/>
    <n v="111.5"/>
    <n v="108.2"/>
    <n v="95.4"/>
    <n v="113.5"/>
    <n v="112.1"/>
    <n v="119.9"/>
    <n v="115.2"/>
    <n v="116.2"/>
    <n v="115.3"/>
    <n v="111.7"/>
    <n v="114.7"/>
    <n v="112.5"/>
    <n v="111.1"/>
    <n v="112.6"/>
    <n v="110.4"/>
    <n v="111.3"/>
    <n v="110.3"/>
    <n v="111.6"/>
    <n v="108.7"/>
    <n v="111"/>
    <n v="113.1"/>
    <n v="165.66785714285714"/>
    <x v="13"/>
  </r>
  <r>
    <n v="42"/>
    <x v="2"/>
    <x v="1"/>
    <x v="1"/>
    <x v="41"/>
    <n v="120.2"/>
    <n v="119.2"/>
    <n v="122.5"/>
    <n v="115.1"/>
    <n v="106.6"/>
    <n v="115.4"/>
    <n v="114.5"/>
    <n v="109.3"/>
    <n v="99.2"/>
    <n v="111.4"/>
    <n v="112.6"/>
    <n v="118.8"/>
    <n v="115.3"/>
    <n v="114.7"/>
    <n v="116.4"/>
    <n v="113.3"/>
    <n v="115.9"/>
    <n v="112.5"/>
    <n v="112.4"/>
    <n v="112.8"/>
    <n v="110.7"/>
    <n v="111.1"/>
    <n v="110.1"/>
    <n v="111.8"/>
    <n v="108.7"/>
    <n v="110.9"/>
    <n v="113.6"/>
    <n v="166.06428571428575"/>
    <x v="13"/>
  </r>
  <r>
    <n v="43"/>
    <x v="0"/>
    <x v="1"/>
    <x v="2"/>
    <x v="42"/>
    <n v="120.1"/>
    <n v="118.1"/>
    <n v="120.7"/>
    <n v="116.1"/>
    <n v="109.3"/>
    <n v="119.6"/>
    <n v="117.9"/>
    <n v="110.2"/>
    <n v="101.2"/>
    <n v="110.7"/>
    <n v="113"/>
    <n v="118.3"/>
    <n v="116.2"/>
    <n v="114.6"/>
    <n v="117.5"/>
    <n v="114.9"/>
    <n v="117.2"/>
    <n v="139.12"/>
    <n v="113.4"/>
    <n v="113.4"/>
    <n v="111.4"/>
    <n v="111.2"/>
    <n v="110.2"/>
    <n v="112.4"/>
    <n v="108.9"/>
    <n v="111.3"/>
    <n v="114.6"/>
    <n v="168.12571428571428"/>
    <x v="14"/>
  </r>
  <r>
    <n v="44"/>
    <x v="1"/>
    <x v="1"/>
    <x v="2"/>
    <x v="43"/>
    <n v="122.1"/>
    <n v="121.4"/>
    <n v="121.5"/>
    <n v="116.2"/>
    <n v="102.8"/>
    <n v="117.7"/>
    <n v="113.3"/>
    <n v="108.9"/>
    <n v="96.3"/>
    <n v="114.1"/>
    <n v="112.2"/>
    <n v="120.5"/>
    <n v="116"/>
    <n v="116.7"/>
    <n v="115.8"/>
    <n v="112.1"/>
    <n v="115.2"/>
    <n v="113.2"/>
    <n v="110.9"/>
    <n v="113"/>
    <n v="110.8"/>
    <n v="111.6"/>
    <n v="110.9"/>
    <n v="111.8"/>
    <n v="109.2"/>
    <n v="111.4"/>
    <n v="113.7"/>
    <n v="166.39285714285711"/>
    <x v="14"/>
  </r>
  <r>
    <n v="45"/>
    <x v="2"/>
    <x v="1"/>
    <x v="13"/>
    <x v="44"/>
    <n v="120.7"/>
    <n v="119.3"/>
    <n v="121"/>
    <n v="116.1"/>
    <n v="106.9"/>
    <n v="118.7"/>
    <n v="116.3"/>
    <n v="109.8"/>
    <n v="99.6"/>
    <n v="111.8"/>
    <n v="112.7"/>
    <n v="119.3"/>
    <n v="116.1"/>
    <n v="115.2"/>
    <n v="116.8"/>
    <n v="113.7"/>
    <n v="116.4"/>
    <n v="113.2"/>
    <n v="112.5"/>
    <n v="113.2"/>
    <n v="111.2"/>
    <n v="111.4"/>
    <n v="110.6"/>
    <n v="112"/>
    <n v="109"/>
    <n v="111.3"/>
    <n v="114.2"/>
    <n v="166.875"/>
    <x v="15"/>
  </r>
  <r>
    <n v="46"/>
    <x v="0"/>
    <x v="1"/>
    <x v="3"/>
    <x v="45"/>
    <n v="120.2"/>
    <n v="118.9"/>
    <n v="118.1"/>
    <n v="117"/>
    <n v="109.7"/>
    <n v="125.5"/>
    <n v="120.5"/>
    <n v="111"/>
    <n v="102.6"/>
    <n v="111.2"/>
    <n v="113.5"/>
    <n v="118.7"/>
    <n v="117.2"/>
    <n v="115.4"/>
    <n v="118.1"/>
    <n v="116.1"/>
    <n v="117.8"/>
    <n v="139.12"/>
    <n v="113.4"/>
    <n v="113.7"/>
    <n v="111.8"/>
    <n v="111.2"/>
    <n v="110.5"/>
    <n v="113"/>
    <n v="108.9"/>
    <n v="111.5"/>
    <n v="115.4"/>
    <n v="169.26857142857139"/>
    <x v="16"/>
  </r>
  <r>
    <n v="47"/>
    <x v="1"/>
    <x v="1"/>
    <x v="3"/>
    <x v="46"/>
    <n v="122.5"/>
    <n v="121.7"/>
    <n v="113.3"/>
    <n v="117"/>
    <n v="103.1"/>
    <n v="126.7"/>
    <n v="121.2"/>
    <n v="111"/>
    <n v="100.3"/>
    <n v="115.3"/>
    <n v="112.7"/>
    <n v="121"/>
    <n v="118.2"/>
    <n v="117.6"/>
    <n v="116.3"/>
    <n v="112.5"/>
    <n v="115.7"/>
    <n v="113.9"/>
    <n v="110.9"/>
    <n v="113.4"/>
    <n v="111"/>
    <n v="111.2"/>
    <n v="111.2"/>
    <n v="112.5"/>
    <n v="109.1"/>
    <n v="111.4"/>
    <n v="114.7"/>
    <n v="168.10714285714286"/>
    <x v="16"/>
  </r>
  <r>
    <n v="48"/>
    <x v="2"/>
    <x v="1"/>
    <x v="3"/>
    <x v="47"/>
    <n v="120.9"/>
    <n v="119.9"/>
    <n v="116.2"/>
    <n v="117"/>
    <n v="107.3"/>
    <n v="126.1"/>
    <n v="120.7"/>
    <n v="111"/>
    <n v="101.8"/>
    <n v="112.6"/>
    <n v="113.2"/>
    <n v="119.8"/>
    <n v="117.6"/>
    <n v="116"/>
    <n v="117.4"/>
    <n v="114.6"/>
    <n v="117"/>
    <n v="113.9"/>
    <n v="112.5"/>
    <n v="113.6"/>
    <n v="111.5"/>
    <n v="111.2"/>
    <n v="110.9"/>
    <n v="112.7"/>
    <n v="109"/>
    <n v="111.5"/>
    <n v="115.1"/>
    <n v="168.25357142857143"/>
    <x v="16"/>
  </r>
  <r>
    <n v="49"/>
    <x v="0"/>
    <x v="1"/>
    <x v="4"/>
    <x v="48"/>
    <n v="120.3"/>
    <n v="120.2"/>
    <n v="116.9"/>
    <n v="118"/>
    <n v="110.1"/>
    <n v="126.3"/>
    <n v="123.9"/>
    <n v="111.5"/>
    <n v="103.5"/>
    <n v="111.6"/>
    <n v="114.2"/>
    <n v="119.2"/>
    <n v="118.2"/>
    <n v="116.3"/>
    <n v="118.7"/>
    <n v="116.8"/>
    <n v="118.5"/>
    <n v="139.12"/>
    <n v="113.4"/>
    <n v="114.1"/>
    <n v="112.1"/>
    <n v="111.4"/>
    <n v="110.9"/>
    <n v="113.1"/>
    <n v="108.9"/>
    <n v="111.8"/>
    <n v="116"/>
    <n v="170.18642857142854"/>
    <x v="17"/>
  </r>
  <r>
    <n v="50"/>
    <x v="1"/>
    <x v="1"/>
    <x v="4"/>
    <x v="49"/>
    <n v="122.7"/>
    <n v="124.1"/>
    <n v="114.2"/>
    <n v="119.1"/>
    <n v="103.5"/>
    <n v="129.19999999999999"/>
    <n v="127"/>
    <n v="112.6"/>
    <n v="101.3"/>
    <n v="117"/>
    <n v="112.9"/>
    <n v="121.7"/>
    <n v="120"/>
    <n v="118.3"/>
    <n v="116.8"/>
    <n v="112.9"/>
    <n v="116.2"/>
    <n v="114.3"/>
    <n v="111.1"/>
    <n v="114.1"/>
    <n v="111.2"/>
    <n v="111.3"/>
    <n v="111.5"/>
    <n v="112.9"/>
    <n v="109.3"/>
    <n v="111.7"/>
    <n v="115.6"/>
    <n v="169.86071428571429"/>
    <x v="17"/>
  </r>
  <r>
    <n v="51"/>
    <x v="2"/>
    <x v="1"/>
    <x v="4"/>
    <x v="50"/>
    <n v="121.1"/>
    <n v="121.6"/>
    <n v="115.9"/>
    <n v="118.4"/>
    <n v="107.7"/>
    <n v="127.7"/>
    <n v="125"/>
    <n v="111.9"/>
    <n v="102.8"/>
    <n v="113.4"/>
    <n v="113.7"/>
    <n v="120.4"/>
    <n v="118.9"/>
    <n v="116.8"/>
    <n v="118"/>
    <n v="115.2"/>
    <n v="117.6"/>
    <n v="114.3"/>
    <n v="112.5"/>
    <n v="114.1"/>
    <n v="111.8"/>
    <n v="111.3"/>
    <n v="111.2"/>
    <n v="113"/>
    <n v="109.1"/>
    <n v="111.8"/>
    <n v="115.8"/>
    <n v="169.51071428571433"/>
    <x v="17"/>
  </r>
  <r>
    <n v="52"/>
    <x v="0"/>
    <x v="1"/>
    <x v="5"/>
    <x v="51"/>
    <n v="120.7"/>
    <n v="121.6"/>
    <n v="116.1"/>
    <n v="119.3"/>
    <n v="110.3"/>
    <n v="125.8"/>
    <n v="129.30000000000001"/>
    <n v="112.2"/>
    <n v="103.6"/>
    <n v="112.3"/>
    <n v="114.9"/>
    <n v="120.1"/>
    <n v="119.5"/>
    <n v="117.3"/>
    <n v="119.7"/>
    <n v="117.3"/>
    <n v="119.3"/>
    <n v="139.12"/>
    <n v="114.4"/>
    <n v="114.9"/>
    <n v="112.8"/>
    <n v="112.2"/>
    <n v="111.4"/>
    <n v="114.3"/>
    <n v="108"/>
    <n v="112.3"/>
    <n v="117"/>
    <n v="171.38285714285715"/>
    <x v="18"/>
  </r>
  <r>
    <n v="53"/>
    <x v="1"/>
    <x v="1"/>
    <x v="5"/>
    <x v="52"/>
    <n v="123.1"/>
    <n v="125.9"/>
    <n v="115.4"/>
    <n v="120.4"/>
    <n v="103.4"/>
    <n v="131.19999999999999"/>
    <n v="137.5"/>
    <n v="112.8"/>
    <n v="101.4"/>
    <n v="118.3"/>
    <n v="113.2"/>
    <n v="122.4"/>
    <n v="122"/>
    <n v="119"/>
    <n v="117.4"/>
    <n v="113.2"/>
    <n v="116.7"/>
    <n v="113.9"/>
    <n v="111.2"/>
    <n v="114.3"/>
    <n v="111.4"/>
    <n v="111.5"/>
    <n v="111.8"/>
    <n v="115.1"/>
    <n v="108.7"/>
    <n v="112.2"/>
    <n v="116.4"/>
    <n v="171.6357142857143"/>
    <x v="18"/>
  </r>
  <r>
    <n v="54"/>
    <x v="2"/>
    <x v="1"/>
    <x v="5"/>
    <x v="53"/>
    <n v="121.5"/>
    <n v="123.1"/>
    <n v="115.8"/>
    <n v="119.7"/>
    <n v="107.8"/>
    <n v="128.30000000000001"/>
    <n v="132.1"/>
    <n v="112.4"/>
    <n v="102.9"/>
    <n v="114.3"/>
    <n v="114.2"/>
    <n v="121.2"/>
    <n v="120.4"/>
    <n v="117.8"/>
    <n v="118.8"/>
    <n v="115.6"/>
    <n v="118.3"/>
    <n v="113.9"/>
    <n v="113.2"/>
    <n v="114.6"/>
    <n v="112.3"/>
    <n v="111.8"/>
    <n v="111.6"/>
    <n v="114.8"/>
    <n v="108.3"/>
    <n v="112.3"/>
    <n v="116.7"/>
    <n v="170.90000000000006"/>
    <x v="18"/>
  </r>
  <r>
    <n v="55"/>
    <x v="0"/>
    <x v="1"/>
    <x v="6"/>
    <x v="54"/>
    <n v="121.7"/>
    <n v="122.5"/>
    <n v="117.7"/>
    <n v="120.6"/>
    <n v="110.4"/>
    <n v="129.1"/>
    <n v="150.1"/>
    <n v="113.2"/>
    <n v="104.8"/>
    <n v="113.3"/>
    <n v="115.6"/>
    <n v="120.9"/>
    <n v="123.3"/>
    <n v="118"/>
    <n v="120.7"/>
    <n v="118.3"/>
    <n v="120.3"/>
    <n v="139.12"/>
    <n v="115.3"/>
    <n v="115.4"/>
    <n v="113.4"/>
    <n v="113.2"/>
    <n v="111.8"/>
    <n v="115.5"/>
    <n v="108.8"/>
    <n v="113.1"/>
    <n v="119.5"/>
    <n v="174.52928571428578"/>
    <x v="19"/>
  </r>
  <r>
    <n v="56"/>
    <x v="1"/>
    <x v="1"/>
    <x v="6"/>
    <x v="55"/>
    <n v="123.8"/>
    <n v="126.4"/>
    <n v="118"/>
    <n v="121.6"/>
    <n v="103.5"/>
    <n v="133.69999999999999"/>
    <n v="172.4"/>
    <n v="113.1"/>
    <n v="102.7"/>
    <n v="120"/>
    <n v="113.8"/>
    <n v="123.4"/>
    <n v="127.1"/>
    <n v="121"/>
    <n v="118"/>
    <n v="113.6"/>
    <n v="117.4"/>
    <n v="114.8"/>
    <n v="111.6"/>
    <n v="114.9"/>
    <n v="111.5"/>
    <n v="113"/>
    <n v="112.4"/>
    <n v="117.8"/>
    <n v="109.7"/>
    <n v="113.5"/>
    <n v="118.9"/>
    <n v="176.00357142857138"/>
    <x v="19"/>
  </r>
  <r>
    <n v="57"/>
    <x v="2"/>
    <x v="1"/>
    <x v="6"/>
    <x v="56"/>
    <n v="122.4"/>
    <n v="123.9"/>
    <n v="117.8"/>
    <n v="121"/>
    <n v="107.9"/>
    <n v="131.19999999999999"/>
    <n v="157.69999999999999"/>
    <n v="113.2"/>
    <n v="104.1"/>
    <n v="115.5"/>
    <n v="114.8"/>
    <n v="122.1"/>
    <n v="124.7"/>
    <n v="118.8"/>
    <n v="119.6"/>
    <n v="116.3"/>
    <n v="119.1"/>
    <n v="114.8"/>
    <n v="113.9"/>
    <n v="115.2"/>
    <n v="112.7"/>
    <n v="113.1"/>
    <n v="112.1"/>
    <n v="116.8"/>
    <n v="109.2"/>
    <n v="113.3"/>
    <n v="119.2"/>
    <n v="174.48214285714289"/>
    <x v="19"/>
  </r>
  <r>
    <n v="58"/>
    <x v="0"/>
    <x v="1"/>
    <x v="7"/>
    <x v="57"/>
    <n v="121.8"/>
    <n v="122.8"/>
    <n v="117.8"/>
    <n v="121.9"/>
    <n v="110.6"/>
    <n v="129.69999999999999"/>
    <n v="161.1"/>
    <n v="114.1"/>
    <n v="105.1"/>
    <n v="114.6"/>
    <n v="115.8"/>
    <n v="121.7"/>
    <n v="125.3"/>
    <n v="118.8"/>
    <n v="120.9"/>
    <n v="118.8"/>
    <n v="120.7"/>
    <n v="139.12"/>
    <n v="115.4"/>
    <n v="115.9"/>
    <n v="114"/>
    <n v="113.2"/>
    <n v="112.2"/>
    <n v="116.2"/>
    <n v="109.4"/>
    <n v="113.5"/>
    <n v="120.7"/>
    <n v="176.15071428571423"/>
    <x v="20"/>
  </r>
  <r>
    <n v="59"/>
    <x v="1"/>
    <x v="1"/>
    <x v="7"/>
    <x v="58"/>
    <n v="124.8"/>
    <n v="127.3"/>
    <n v="116.5"/>
    <n v="122.2"/>
    <n v="103.6"/>
    <n v="132.69999999999999"/>
    <n v="181.9"/>
    <n v="115.2"/>
    <n v="102.7"/>
    <n v="122.1"/>
    <n v="114.4"/>
    <n v="124.7"/>
    <n v="128.9"/>
    <n v="123"/>
    <n v="118.6"/>
    <n v="114.1"/>
    <n v="117.9"/>
    <n v="115.5"/>
    <n v="111.8"/>
    <n v="115.3"/>
    <n v="112.2"/>
    <n v="112.5"/>
    <n v="112.9"/>
    <n v="119.2"/>
    <n v="110.5"/>
    <n v="113.9"/>
    <n v="119.9"/>
    <n v="177.65357142857133"/>
    <x v="20"/>
  </r>
  <r>
    <n v="60"/>
    <x v="2"/>
    <x v="1"/>
    <x v="7"/>
    <x v="59"/>
    <n v="122.7"/>
    <n v="124.4"/>
    <n v="117.3"/>
    <n v="122"/>
    <n v="108"/>
    <n v="131.1"/>
    <n v="168.2"/>
    <n v="114.5"/>
    <n v="104.3"/>
    <n v="117.1"/>
    <n v="115.2"/>
    <n v="123.1"/>
    <n v="126.6"/>
    <n v="119.9"/>
    <n v="120"/>
    <n v="116.8"/>
    <n v="119.6"/>
    <n v="115.5"/>
    <n v="114"/>
    <n v="115.6"/>
    <n v="113.3"/>
    <n v="112.8"/>
    <n v="112.6"/>
    <n v="118"/>
    <n v="109.9"/>
    <n v="113.7"/>
    <n v="120.3"/>
    <n v="176.10357142857146"/>
    <x v="20"/>
  </r>
  <r>
    <n v="61"/>
    <x v="0"/>
    <x v="1"/>
    <x v="8"/>
    <x v="60"/>
    <n v="122.3"/>
    <n v="122.4"/>
    <n v="117.8"/>
    <n v="122.7"/>
    <n v="110.4"/>
    <n v="129.80000000000001"/>
    <n v="158.80000000000001"/>
    <n v="115"/>
    <n v="104.7"/>
    <n v="114.9"/>
    <n v="116.5"/>
    <n v="122.6"/>
    <n v="125.3"/>
    <n v="119.5"/>
    <n v="121.7"/>
    <n v="119.2"/>
    <n v="121.3"/>
    <n v="139.12"/>
    <n v="115.8"/>
    <n v="116.7"/>
    <n v="114.5"/>
    <n v="112.8"/>
    <n v="112.6"/>
    <n v="116.6"/>
    <n v="109.1"/>
    <n v="113.7"/>
    <n v="120.9"/>
    <n v="176.40785714285718"/>
    <x v="21"/>
  </r>
  <r>
    <n v="62"/>
    <x v="1"/>
    <x v="1"/>
    <x v="8"/>
    <x v="61"/>
    <n v="124.2"/>
    <n v="125.4"/>
    <n v="116.4"/>
    <n v="122.7"/>
    <n v="103.5"/>
    <n v="124.5"/>
    <n v="168.6"/>
    <n v="116.9"/>
    <n v="101.9"/>
    <n v="122.9"/>
    <n v="114.8"/>
    <n v="125.2"/>
    <n v="126.7"/>
    <n v="124.3"/>
    <n v="119.2"/>
    <n v="114.5"/>
    <n v="118.4"/>
    <n v="116.1"/>
    <n v="111.8"/>
    <n v="115.5"/>
    <n v="112.3"/>
    <n v="111.2"/>
    <n v="113.4"/>
    <n v="120"/>
    <n v="110"/>
    <n v="113.6"/>
    <n v="119.2"/>
    <n v="176.1142857142857"/>
    <x v="21"/>
  </r>
  <r>
    <n v="63"/>
    <x v="2"/>
    <x v="1"/>
    <x v="8"/>
    <x v="62"/>
    <n v="122.9"/>
    <n v="123.5"/>
    <n v="117.3"/>
    <n v="122.7"/>
    <n v="107.9"/>
    <n v="127.3"/>
    <n v="162.1"/>
    <n v="115.6"/>
    <n v="103.8"/>
    <n v="117.6"/>
    <n v="115.8"/>
    <n v="123.8"/>
    <n v="125.8"/>
    <n v="120.8"/>
    <n v="120.7"/>
    <n v="117.2"/>
    <n v="120.1"/>
    <n v="116.1"/>
    <n v="114.3"/>
    <n v="116.1"/>
    <n v="113.7"/>
    <n v="112"/>
    <n v="113.1"/>
    <n v="118.6"/>
    <n v="109.5"/>
    <n v="113.7"/>
    <n v="120.1"/>
    <n v="175.67857142857147"/>
    <x v="21"/>
  </r>
  <r>
    <n v="64"/>
    <x v="0"/>
    <x v="1"/>
    <x v="9"/>
    <x v="63"/>
    <n v="122.6"/>
    <n v="122.5"/>
    <n v="118.3"/>
    <n v="123.2"/>
    <n v="110.5"/>
    <n v="128.9"/>
    <n v="155.30000000000001"/>
    <n v="115.5"/>
    <n v="104"/>
    <n v="115.3"/>
    <n v="116.8"/>
    <n v="123.2"/>
    <n v="125.1"/>
    <n v="120"/>
    <n v="122.7"/>
    <n v="120.3"/>
    <n v="122.3"/>
    <n v="139.12"/>
    <n v="116.4"/>
    <n v="117.5"/>
    <n v="115.3"/>
    <n v="112.6"/>
    <n v="113"/>
    <n v="116.9"/>
    <n v="109.3"/>
    <n v="114"/>
    <n v="121"/>
    <n v="176.52928571428575"/>
    <x v="22"/>
  </r>
  <r>
    <n v="65"/>
    <x v="1"/>
    <x v="1"/>
    <x v="9"/>
    <x v="64"/>
    <n v="124.6"/>
    <n v="126.1"/>
    <n v="117.8"/>
    <n v="123.1"/>
    <n v="103.5"/>
    <n v="123.5"/>
    <n v="159.6"/>
    <n v="117.4"/>
    <n v="101.2"/>
    <n v="123.8"/>
    <n v="115.2"/>
    <n v="125.9"/>
    <n v="125.8"/>
    <n v="124.3"/>
    <n v="119.6"/>
    <n v="114.9"/>
    <n v="118.9"/>
    <n v="116.7"/>
    <n v="112"/>
    <n v="115.8"/>
    <n v="112.6"/>
    <n v="111"/>
    <n v="113.6"/>
    <n v="120.2"/>
    <n v="110.1"/>
    <n v="113.7"/>
    <n v="119.1"/>
    <n v="175.77857142857147"/>
    <x v="22"/>
  </r>
  <r>
    <n v="66"/>
    <x v="2"/>
    <x v="1"/>
    <x v="9"/>
    <x v="65"/>
    <n v="123.2"/>
    <n v="123.8"/>
    <n v="118.1"/>
    <n v="123.2"/>
    <n v="107.9"/>
    <n v="126.4"/>
    <n v="156.80000000000001"/>
    <n v="116.1"/>
    <n v="103.1"/>
    <n v="118.1"/>
    <n v="116.1"/>
    <n v="124.5"/>
    <n v="125.4"/>
    <n v="121.1"/>
    <n v="121.5"/>
    <n v="118.1"/>
    <n v="121"/>
    <n v="116.7"/>
    <n v="114.7"/>
    <n v="116.7"/>
    <n v="114.3"/>
    <n v="111.8"/>
    <n v="113.3"/>
    <n v="118.8"/>
    <n v="109.6"/>
    <n v="113.9"/>
    <n v="120.1"/>
    <n v="175.64642857142857"/>
    <x v="22"/>
  </r>
  <r>
    <n v="67"/>
    <x v="0"/>
    <x v="1"/>
    <x v="11"/>
    <x v="66"/>
    <n v="122.7"/>
    <n v="122.6"/>
    <n v="119.9"/>
    <n v="124"/>
    <n v="110.5"/>
    <n v="128.80000000000001"/>
    <n v="152"/>
    <n v="116.2"/>
    <n v="103.3"/>
    <n v="115.8"/>
    <n v="116.8"/>
    <n v="124.5"/>
    <n v="124.9"/>
    <n v="120.8"/>
    <n v="123.3"/>
    <n v="120.5"/>
    <n v="122.9"/>
    <n v="139.12"/>
    <n v="117.3"/>
    <n v="118.1"/>
    <n v="115.9"/>
    <n v="112"/>
    <n v="113.3"/>
    <n v="117.2"/>
    <n v="108.8"/>
    <n v="114.1"/>
    <n v="121.1"/>
    <n v="176.7578571428572"/>
    <x v="23"/>
  </r>
  <r>
    <n v="68"/>
    <x v="1"/>
    <x v="1"/>
    <x v="11"/>
    <x v="67"/>
    <n v="124.5"/>
    <n v="125.6"/>
    <n v="122.7"/>
    <n v="124.6"/>
    <n v="103.2"/>
    <n v="122.2"/>
    <n v="153.19999999999999"/>
    <n v="119.3"/>
    <n v="99.8"/>
    <n v="124.6"/>
    <n v="115.8"/>
    <n v="126.9"/>
    <n v="125.4"/>
    <n v="125.8"/>
    <n v="120.3"/>
    <n v="115.4"/>
    <n v="119.5"/>
    <n v="117.1"/>
    <n v="112.6"/>
    <n v="116.4"/>
    <n v="113"/>
    <n v="109.7"/>
    <n v="114"/>
    <n v="120.3"/>
    <n v="109.6"/>
    <n v="113.4"/>
    <n v="119"/>
    <n v="175.98214285714286"/>
    <x v="23"/>
  </r>
  <r>
    <n v="69"/>
    <x v="2"/>
    <x v="1"/>
    <x v="11"/>
    <x v="68"/>
    <n v="123.3"/>
    <n v="123.7"/>
    <n v="121"/>
    <n v="124.2"/>
    <n v="107.8"/>
    <n v="125.7"/>
    <n v="152.4"/>
    <n v="117.2"/>
    <n v="102.1"/>
    <n v="118.7"/>
    <n v="116.4"/>
    <n v="125.6"/>
    <n v="125.1"/>
    <n v="122.1"/>
    <n v="122.1"/>
    <n v="118.4"/>
    <n v="121.6"/>
    <n v="117.1"/>
    <n v="115.5"/>
    <n v="117.3"/>
    <n v="114.8"/>
    <n v="110.8"/>
    <n v="113.7"/>
    <n v="119"/>
    <n v="109.1"/>
    <n v="113.8"/>
    <n v="120.1"/>
    <n v="175.85357142857146"/>
    <x v="23"/>
  </r>
  <r>
    <n v="70"/>
    <x v="0"/>
    <x v="1"/>
    <x v="12"/>
    <x v="69"/>
    <n v="122.4"/>
    <n v="122.4"/>
    <n v="121.8"/>
    <n v="124.2"/>
    <n v="110.2"/>
    <n v="128.6"/>
    <n v="140.30000000000001"/>
    <n v="116.3"/>
    <n v="102"/>
    <n v="116"/>
    <n v="117.3"/>
    <n v="124.8"/>
    <n v="123.3"/>
    <n v="121.7"/>
    <n v="123.8"/>
    <n v="120.6"/>
    <n v="123.3"/>
    <n v="139.12"/>
    <n v="117.4"/>
    <n v="118.2"/>
    <n v="116.2"/>
    <n v="111.5"/>
    <n v="113.3"/>
    <n v="117.7"/>
    <n v="109.4"/>
    <n v="114.2"/>
    <n v="120.3"/>
    <n v="175.98642857142858"/>
    <x v="24"/>
  </r>
  <r>
    <n v="71"/>
    <x v="1"/>
    <x v="1"/>
    <x v="12"/>
    <x v="70"/>
    <n v="124"/>
    <n v="124.7"/>
    <n v="126.3"/>
    <n v="124.9"/>
    <n v="103"/>
    <n v="122.3"/>
    <n v="141"/>
    <n v="120.1"/>
    <n v="97.8"/>
    <n v="125.4"/>
    <n v="116.1"/>
    <n v="127.6"/>
    <n v="124"/>
    <n v="126.4"/>
    <n v="120.7"/>
    <n v="115.8"/>
    <n v="120"/>
    <n v="116.5"/>
    <n v="113"/>
    <n v="116.8"/>
    <n v="113.2"/>
    <n v="108.8"/>
    <n v="114.3"/>
    <n v="120.7"/>
    <n v="110.4"/>
    <n v="113.4"/>
    <n v="118.4"/>
    <n v="175.32857142857139"/>
    <x v="24"/>
  </r>
  <r>
    <n v="72"/>
    <x v="2"/>
    <x v="1"/>
    <x v="12"/>
    <x v="71"/>
    <n v="122.9"/>
    <n v="123.2"/>
    <n v="123.5"/>
    <n v="124.5"/>
    <n v="107.6"/>
    <n v="125.7"/>
    <n v="140.5"/>
    <n v="117.6"/>
    <n v="100.6"/>
    <n v="119.1"/>
    <n v="116.8"/>
    <n v="126.1"/>
    <n v="123.6"/>
    <n v="123"/>
    <n v="122.6"/>
    <n v="118.6"/>
    <n v="122"/>
    <n v="116.5"/>
    <n v="115.7"/>
    <n v="117.5"/>
    <n v="115.1"/>
    <n v="110.1"/>
    <n v="113.9"/>
    <n v="119.5"/>
    <n v="109.8"/>
    <n v="113.8"/>
    <n v="119.4"/>
    <n v="175.13928571428571"/>
    <x v="24"/>
  </r>
  <r>
    <n v="73"/>
    <x v="0"/>
    <x v="2"/>
    <x v="0"/>
    <x v="72"/>
    <n v="123.1"/>
    <n v="123.1"/>
    <n v="122.1"/>
    <n v="124.9"/>
    <n v="111"/>
    <n v="130.4"/>
    <n v="132.30000000000001"/>
    <n v="117.2"/>
    <n v="100.5"/>
    <n v="117.2"/>
    <n v="117.9"/>
    <n v="125.6"/>
    <n v="122.8"/>
    <n v="122.7"/>
    <n v="124.4"/>
    <n v="121.6"/>
    <n v="124"/>
    <n v="139.12"/>
    <n v="118.4"/>
    <n v="118.9"/>
    <n v="116.6"/>
    <n v="111"/>
    <n v="114"/>
    <n v="118.2"/>
    <n v="110.2"/>
    <n v="114.5"/>
    <n v="120.3"/>
    <n v="176.17214285714286"/>
    <x v="25"/>
  </r>
  <r>
    <n v="74"/>
    <x v="1"/>
    <x v="2"/>
    <x v="0"/>
    <x v="73"/>
    <n v="124"/>
    <n v="125.5"/>
    <n v="126.6"/>
    <n v="125.2"/>
    <n v="104.3"/>
    <n v="121.3"/>
    <n v="134.4"/>
    <n v="122.9"/>
    <n v="96.1"/>
    <n v="126.6"/>
    <n v="116.5"/>
    <n v="128"/>
    <n v="123.5"/>
    <n v="127.4"/>
    <n v="121"/>
    <n v="116.1"/>
    <n v="120.2"/>
    <n v="117.3"/>
    <n v="113.4"/>
    <n v="117.2"/>
    <n v="113.7"/>
    <n v="107.9"/>
    <n v="114.6"/>
    <n v="120.8"/>
    <n v="111.4"/>
    <n v="113.4"/>
    <n v="118.5"/>
    <n v="175.36071428571427"/>
    <x v="25"/>
  </r>
  <r>
    <n v="75"/>
    <x v="2"/>
    <x v="2"/>
    <x v="0"/>
    <x v="74"/>
    <n v="123.4"/>
    <n v="123.9"/>
    <n v="123.8"/>
    <n v="125"/>
    <n v="108.5"/>
    <n v="126.2"/>
    <n v="133"/>
    <n v="119.1"/>
    <n v="99"/>
    <n v="120.3"/>
    <n v="117.3"/>
    <n v="126.7"/>
    <n v="123.1"/>
    <n v="124"/>
    <n v="123.1"/>
    <n v="119.3"/>
    <n v="122.5"/>
    <n v="117.3"/>
    <n v="116.5"/>
    <n v="118.1"/>
    <n v="115.5"/>
    <n v="109.4"/>
    <n v="114.3"/>
    <n v="119.7"/>
    <n v="110.7"/>
    <n v="114"/>
    <n v="119.5"/>
    <n v="175.23214285714286"/>
    <x v="25"/>
  </r>
  <r>
    <n v="76"/>
    <x v="0"/>
    <x v="2"/>
    <x v="1"/>
    <x v="75"/>
    <n v="123.4"/>
    <n v="124.4"/>
    <n v="122.1"/>
    <n v="125.8"/>
    <n v="111.5"/>
    <n v="129.4"/>
    <n v="128.19999999999999"/>
    <n v="118.8"/>
    <n v="100"/>
    <n v="118.6"/>
    <n v="118.8"/>
    <n v="126.8"/>
    <n v="122.8"/>
    <n v="124.2"/>
    <n v="125.4"/>
    <n v="122.7"/>
    <n v="125"/>
    <n v="139.12"/>
    <n v="120"/>
    <n v="119.6"/>
    <n v="117.7"/>
    <n v="110.9"/>
    <n v="114.8"/>
    <n v="118.7"/>
    <n v="110.8"/>
    <n v="115"/>
    <n v="120.6"/>
    <n v="176.78285714285715"/>
    <x v="26"/>
  </r>
  <r>
    <n v="77"/>
    <x v="1"/>
    <x v="2"/>
    <x v="1"/>
    <x v="76"/>
    <n v="124.3"/>
    <n v="126.5"/>
    <n v="119.5"/>
    <n v="125.6"/>
    <n v="104.9"/>
    <n v="121.6"/>
    <n v="131.80000000000001"/>
    <n v="125.1"/>
    <n v="95"/>
    <n v="127.7"/>
    <n v="116.8"/>
    <n v="128.6"/>
    <n v="123.7"/>
    <n v="128.1"/>
    <n v="121.3"/>
    <n v="116.5"/>
    <n v="120.6"/>
    <n v="118.1"/>
    <n v="114"/>
    <n v="117.7"/>
    <n v="114.1"/>
    <n v="106.8"/>
    <n v="114.9"/>
    <n v="120.4"/>
    <n v="111.7"/>
    <n v="113.2"/>
    <n v="118.7"/>
    <n v="175.22857142857137"/>
    <x v="26"/>
  </r>
  <r>
    <n v="78"/>
    <x v="2"/>
    <x v="2"/>
    <x v="1"/>
    <x v="77"/>
    <n v="123.7"/>
    <n v="125.1"/>
    <n v="121.1"/>
    <n v="125.7"/>
    <n v="109.1"/>
    <n v="125.8"/>
    <n v="129.4"/>
    <n v="120.9"/>
    <n v="98.3"/>
    <n v="121.6"/>
    <n v="118"/>
    <n v="127.6"/>
    <n v="123.1"/>
    <n v="125.2"/>
    <n v="123.8"/>
    <n v="120.1"/>
    <n v="123.3"/>
    <n v="118.1"/>
    <n v="117.7"/>
    <n v="118.7"/>
    <n v="116.3"/>
    <n v="108.7"/>
    <n v="114.9"/>
    <n v="119.7"/>
    <n v="111.2"/>
    <n v="114.1"/>
    <n v="119.7"/>
    <n v="175.55357142857139"/>
    <x v="26"/>
  </r>
  <r>
    <n v="79"/>
    <x v="0"/>
    <x v="2"/>
    <x v="2"/>
    <x v="78"/>
    <n v="123.3"/>
    <n v="124.7"/>
    <n v="118.9"/>
    <n v="126"/>
    <n v="111.8"/>
    <n v="130.9"/>
    <n v="128"/>
    <n v="119.9"/>
    <n v="98.9"/>
    <n v="119.4"/>
    <n v="118.9"/>
    <n v="127.7"/>
    <n v="123.1"/>
    <n v="124.7"/>
    <n v="126"/>
    <n v="122.9"/>
    <n v="125.5"/>
    <n v="139.12"/>
    <n v="120.6"/>
    <n v="120.2"/>
    <n v="118.2"/>
    <n v="111.6"/>
    <n v="115.5"/>
    <n v="119.4"/>
    <n v="110.8"/>
    <n v="115.5"/>
    <n v="121.1"/>
    <n v="177.1007142857143"/>
    <x v="27"/>
  </r>
  <r>
    <n v="80"/>
    <x v="1"/>
    <x v="2"/>
    <x v="2"/>
    <x v="79"/>
    <n v="124"/>
    <n v="126.7"/>
    <n v="113.5"/>
    <n v="125.9"/>
    <n v="104.8"/>
    <n v="123.8"/>
    <n v="131.4"/>
    <n v="127.2"/>
    <n v="93.2"/>
    <n v="127.4"/>
    <n v="117"/>
    <n v="129.19999999999999"/>
    <n v="123.9"/>
    <n v="128.80000000000001"/>
    <n v="121.7"/>
    <n v="116.9"/>
    <n v="120.9"/>
    <n v="118.6"/>
    <n v="114.4"/>
    <n v="118"/>
    <n v="114.3"/>
    <n v="108.4"/>
    <n v="115.4"/>
    <n v="120.6"/>
    <n v="111.3"/>
    <n v="113.8"/>
    <n v="119.1"/>
    <n v="175.25000000000003"/>
    <x v="27"/>
  </r>
  <r>
    <n v="81"/>
    <x v="2"/>
    <x v="2"/>
    <x v="2"/>
    <x v="80"/>
    <n v="123.5"/>
    <n v="125.4"/>
    <n v="116.8"/>
    <n v="126"/>
    <n v="109.2"/>
    <n v="127.6"/>
    <n v="129.19999999999999"/>
    <n v="122.4"/>
    <n v="97"/>
    <n v="122.1"/>
    <n v="118.1"/>
    <n v="128.4"/>
    <n v="123.4"/>
    <n v="125.8"/>
    <n v="124.3"/>
    <n v="120.4"/>
    <n v="123.7"/>
    <n v="118.6"/>
    <n v="118.3"/>
    <n v="119.2"/>
    <n v="116.7"/>
    <n v="109.9"/>
    <n v="115.4"/>
    <n v="120.1"/>
    <n v="111"/>
    <n v="114.7"/>
    <n v="120.2"/>
    <n v="175.79642857142855"/>
    <x v="27"/>
  </r>
  <r>
    <n v="82"/>
    <x v="0"/>
    <x v="2"/>
    <x v="3"/>
    <x v="81"/>
    <n v="123.3"/>
    <n v="125.5"/>
    <n v="117.2"/>
    <n v="126.8"/>
    <n v="111.9"/>
    <n v="134.19999999999999"/>
    <n v="127.5"/>
    <n v="121.5"/>
    <n v="97.8"/>
    <n v="119.8"/>
    <n v="119.4"/>
    <n v="128.69999999999999"/>
    <n v="123.6"/>
    <n v="125.7"/>
    <n v="126.4"/>
    <n v="123.3"/>
    <n v="126"/>
    <n v="139.12"/>
    <n v="121.2"/>
    <n v="120.9"/>
    <n v="118.6"/>
    <n v="111.9"/>
    <n v="116.2"/>
    <n v="119.9"/>
    <n v="111.6"/>
    <n v="116"/>
    <n v="121.5"/>
    <n v="177.80071428571429"/>
    <x v="28"/>
  </r>
  <r>
    <n v="83"/>
    <x v="1"/>
    <x v="2"/>
    <x v="3"/>
    <x v="82"/>
    <n v="123.8"/>
    <n v="128.19999999999999"/>
    <n v="110"/>
    <n v="126.3"/>
    <n v="104.5"/>
    <n v="130.6"/>
    <n v="130.80000000000001"/>
    <n v="131.30000000000001"/>
    <n v="91.6"/>
    <n v="127.7"/>
    <n v="117.2"/>
    <n v="129.5"/>
    <n v="124.6"/>
    <n v="130.1"/>
    <n v="122.1"/>
    <n v="117.2"/>
    <n v="121.3"/>
    <n v="119.2"/>
    <n v="114.7"/>
    <n v="118.4"/>
    <n v="114.6"/>
    <n v="108.4"/>
    <n v="115.6"/>
    <n v="121.7"/>
    <n v="111.8"/>
    <n v="114.2"/>
    <n v="119.7"/>
    <n v="176.1178571428571"/>
    <x v="28"/>
  </r>
  <r>
    <n v="84"/>
    <x v="2"/>
    <x v="2"/>
    <x v="3"/>
    <x v="83"/>
    <n v="123.5"/>
    <n v="126.4"/>
    <n v="114.4"/>
    <n v="126.6"/>
    <n v="109.2"/>
    <n v="132.5"/>
    <n v="128.6"/>
    <n v="124.8"/>
    <n v="95.7"/>
    <n v="122.4"/>
    <n v="118.5"/>
    <n v="129.1"/>
    <n v="124"/>
    <n v="126.9"/>
    <n v="124.7"/>
    <n v="120.8"/>
    <n v="124.1"/>
    <n v="119.2"/>
    <n v="118.7"/>
    <n v="119.7"/>
    <n v="117.1"/>
    <n v="110.1"/>
    <n v="115.9"/>
    <n v="121"/>
    <n v="111.7"/>
    <n v="115.1"/>
    <n v="120.7"/>
    <n v="176.57142857142858"/>
    <x v="28"/>
  </r>
  <r>
    <n v="85"/>
    <x v="0"/>
    <x v="2"/>
    <x v="4"/>
    <x v="84"/>
    <n v="123.5"/>
    <n v="127.1"/>
    <n v="117.3"/>
    <n v="127.7"/>
    <n v="112.5"/>
    <n v="134.1"/>
    <n v="128.5"/>
    <n v="124.3"/>
    <n v="97.6"/>
    <n v="120.7"/>
    <n v="120.2"/>
    <n v="129.80000000000001"/>
    <n v="124.4"/>
    <n v="126.7"/>
    <n v="127.3"/>
    <n v="124.1"/>
    <n v="126.8"/>
    <n v="139.12"/>
    <n v="121.9"/>
    <n v="121.5"/>
    <n v="119.4"/>
    <n v="113.3"/>
    <n v="116.7"/>
    <n v="120.5"/>
    <n v="112.3"/>
    <n v="116.9"/>
    <n v="122.4"/>
    <n v="178.96499999999997"/>
    <x v="29"/>
  </r>
  <r>
    <n v="86"/>
    <x v="1"/>
    <x v="2"/>
    <x v="4"/>
    <x v="85"/>
    <n v="123.8"/>
    <n v="129.69999999999999"/>
    <n v="111.3"/>
    <n v="126.6"/>
    <n v="105.2"/>
    <n v="130.80000000000001"/>
    <n v="135.6"/>
    <n v="142.6"/>
    <n v="90.8"/>
    <n v="128.80000000000001"/>
    <n v="117.7"/>
    <n v="129.9"/>
    <n v="126.1"/>
    <n v="131.30000000000001"/>
    <n v="122.4"/>
    <n v="117.4"/>
    <n v="121.6"/>
    <n v="119.6"/>
    <n v="114.9"/>
    <n v="118.7"/>
    <n v="114.9"/>
    <n v="110.8"/>
    <n v="116"/>
    <n v="122"/>
    <n v="112.4"/>
    <n v="115.2"/>
    <n v="120.7"/>
    <n v="178.10714285714283"/>
    <x v="29"/>
  </r>
  <r>
    <n v="87"/>
    <x v="2"/>
    <x v="2"/>
    <x v="4"/>
    <x v="86"/>
    <n v="123.6"/>
    <n v="128"/>
    <n v="115"/>
    <n v="127.3"/>
    <n v="109.8"/>
    <n v="132.6"/>
    <n v="130.9"/>
    <n v="130.5"/>
    <n v="95.3"/>
    <n v="123.4"/>
    <n v="119.2"/>
    <n v="129.80000000000001"/>
    <n v="125"/>
    <n v="127.9"/>
    <n v="125.4"/>
    <n v="121.3"/>
    <n v="124.7"/>
    <n v="119.6"/>
    <n v="119.2"/>
    <n v="120.2"/>
    <n v="117.7"/>
    <n v="112"/>
    <n v="116.3"/>
    <n v="121.4"/>
    <n v="112.3"/>
    <n v="116.1"/>
    <n v="121.6"/>
    <n v="178.01428571428576"/>
    <x v="29"/>
  </r>
  <r>
    <n v="88"/>
    <x v="0"/>
    <x v="2"/>
    <x v="5"/>
    <x v="87"/>
    <n v="124.1"/>
    <n v="130.4"/>
    <n v="122.1"/>
    <n v="128.69999999999999"/>
    <n v="114.1"/>
    <n v="133.19999999999999"/>
    <n v="135.19999999999999"/>
    <n v="131.9"/>
    <n v="96.3"/>
    <n v="123"/>
    <n v="121.1"/>
    <n v="131.19999999999999"/>
    <n v="126.6"/>
    <n v="128.19999999999999"/>
    <n v="128.4"/>
    <n v="125.1"/>
    <n v="128"/>
    <n v="139.12"/>
    <n v="122.6"/>
    <n v="122.8"/>
    <n v="120.4"/>
    <n v="114.2"/>
    <n v="117.9"/>
    <n v="122"/>
    <n v="113"/>
    <n v="117.9"/>
    <n v="124.1"/>
    <n v="181.70428571428565"/>
    <x v="30"/>
  </r>
  <r>
    <n v="89"/>
    <x v="1"/>
    <x v="2"/>
    <x v="5"/>
    <x v="88"/>
    <n v="123.6"/>
    <n v="134.4"/>
    <n v="120.9"/>
    <n v="127.3"/>
    <n v="106"/>
    <n v="132.30000000000001"/>
    <n v="146.69999999999999"/>
    <n v="148.1"/>
    <n v="89.8"/>
    <n v="130.5"/>
    <n v="118"/>
    <n v="130.5"/>
    <n v="128.5"/>
    <n v="132.1"/>
    <n v="123.2"/>
    <n v="117.6"/>
    <n v="122.3"/>
    <n v="119"/>
    <n v="115.1"/>
    <n v="119.2"/>
    <n v="115.4"/>
    <n v="111.7"/>
    <n v="116.2"/>
    <n v="123.8"/>
    <n v="112.5"/>
    <n v="116"/>
    <n v="121.7"/>
    <n v="181.11071428571427"/>
    <x v="30"/>
  </r>
  <r>
    <n v="90"/>
    <x v="2"/>
    <x v="2"/>
    <x v="5"/>
    <x v="89"/>
    <n v="123.9"/>
    <n v="131.80000000000001"/>
    <n v="121.6"/>
    <n v="128.19999999999999"/>
    <n v="111.1"/>
    <n v="132.80000000000001"/>
    <n v="139.1"/>
    <n v="137.4"/>
    <n v="94.1"/>
    <n v="125.5"/>
    <n v="119.8"/>
    <n v="130.9"/>
    <n v="127.3"/>
    <n v="129.19999999999999"/>
    <n v="126.4"/>
    <n v="122"/>
    <n v="125.7"/>
    <n v="119"/>
    <n v="119.8"/>
    <n v="121.1"/>
    <n v="118.5"/>
    <n v="112.9"/>
    <n v="116.9"/>
    <n v="123.1"/>
    <n v="112.8"/>
    <n v="117"/>
    <n v="123"/>
    <n v="180.84285714285716"/>
    <x v="30"/>
  </r>
  <r>
    <n v="91"/>
    <x v="0"/>
    <x v="2"/>
    <x v="6"/>
    <x v="90"/>
    <n v="124"/>
    <n v="131.5"/>
    <n v="122"/>
    <n v="128.69999999999999"/>
    <n v="113.5"/>
    <n v="133.30000000000001"/>
    <n v="140.80000000000001"/>
    <n v="133.80000000000001"/>
    <n v="94.1"/>
    <n v="123.4"/>
    <n v="121"/>
    <n v="131.69999999999999"/>
    <n v="127.5"/>
    <n v="129.4"/>
    <n v="128.80000000000001"/>
    <n v="125.5"/>
    <n v="128.30000000000001"/>
    <n v="139.12"/>
    <n v="123"/>
    <n v="123"/>
    <n v="120.8"/>
    <n v="114.1"/>
    <n v="118"/>
    <n v="122.9"/>
    <n v="112.7"/>
    <n v="118.1"/>
    <n v="124.7"/>
    <n v="182.44357142857146"/>
    <x v="31"/>
  </r>
  <r>
    <n v="92"/>
    <x v="1"/>
    <x v="2"/>
    <x v="6"/>
    <x v="91"/>
    <n v="123.2"/>
    <n v="134.30000000000001"/>
    <n v="119.5"/>
    <n v="127.7"/>
    <n v="106.3"/>
    <n v="132.80000000000001"/>
    <n v="153.5"/>
    <n v="149.5"/>
    <n v="85.7"/>
    <n v="131.5"/>
    <n v="118.3"/>
    <n v="131.1"/>
    <n v="129.5"/>
    <n v="133.1"/>
    <n v="123.5"/>
    <n v="117.9"/>
    <n v="122.7"/>
    <n v="119.9"/>
    <n v="115.3"/>
    <n v="119.5"/>
    <n v="116"/>
    <n v="111.5"/>
    <n v="116.6"/>
    <n v="125.4"/>
    <n v="111.7"/>
    <n v="116.3"/>
    <n v="122.4"/>
    <n v="181.81071428571428"/>
    <x v="31"/>
  </r>
  <r>
    <n v="93"/>
    <x v="2"/>
    <x v="2"/>
    <x v="6"/>
    <x v="92"/>
    <n v="123.7"/>
    <n v="132.5"/>
    <n v="121"/>
    <n v="128.30000000000001"/>
    <n v="110.9"/>
    <n v="133.1"/>
    <n v="145.1"/>
    <n v="139.1"/>
    <n v="91.3"/>
    <n v="126.1"/>
    <n v="119.9"/>
    <n v="131.4"/>
    <n v="128.19999999999999"/>
    <n v="130.4"/>
    <n v="126.7"/>
    <n v="122.3"/>
    <n v="126.1"/>
    <n v="119.9"/>
    <n v="120.1"/>
    <n v="121.3"/>
    <n v="119"/>
    <n v="112.7"/>
    <n v="117.2"/>
    <n v="124.4"/>
    <n v="112.3"/>
    <n v="117.2"/>
    <n v="123.6"/>
    <n v="181.6"/>
    <x v="31"/>
  </r>
  <r>
    <n v="94"/>
    <x v="0"/>
    <x v="2"/>
    <x v="7"/>
    <x v="93"/>
    <n v="124.7"/>
    <n v="131.30000000000001"/>
    <n v="121.3"/>
    <n v="128.80000000000001"/>
    <n v="114"/>
    <n v="134.19999999999999"/>
    <n v="153.6"/>
    <n v="137.9"/>
    <n v="93.1"/>
    <n v="123.9"/>
    <n v="121.5"/>
    <n v="132.5"/>
    <n v="129.80000000000001"/>
    <n v="130.1"/>
    <n v="129.5"/>
    <n v="126.3"/>
    <n v="129"/>
    <n v="139.12"/>
    <n v="123.8"/>
    <n v="123.7"/>
    <n v="121.1"/>
    <n v="113.6"/>
    <n v="118.5"/>
    <n v="123.6"/>
    <n v="112.5"/>
    <n v="118.2"/>
    <n v="126.1"/>
    <n v="184.22928571428574"/>
    <x v="32"/>
  </r>
  <r>
    <n v="95"/>
    <x v="1"/>
    <x v="2"/>
    <x v="7"/>
    <x v="94"/>
    <n v="123.1"/>
    <n v="131.69999999999999"/>
    <n v="118.1"/>
    <n v="128"/>
    <n v="106.8"/>
    <n v="130.1"/>
    <n v="165.5"/>
    <n v="156"/>
    <n v="85.3"/>
    <n v="132.69999999999999"/>
    <n v="118.8"/>
    <n v="131.69999999999999"/>
    <n v="131.1"/>
    <n v="134.19999999999999"/>
    <n v="123.7"/>
    <n v="118.2"/>
    <n v="122.9"/>
    <n v="120.9"/>
    <n v="115.3"/>
    <n v="120"/>
    <n v="116.6"/>
    <n v="109.9"/>
    <n v="117.2"/>
    <n v="126.2"/>
    <n v="112"/>
    <n v="116.2"/>
    <n v="123.2"/>
    <n v="183.16071428571425"/>
    <x v="32"/>
  </r>
  <r>
    <n v="96"/>
    <x v="2"/>
    <x v="2"/>
    <x v="7"/>
    <x v="95"/>
    <n v="124.2"/>
    <n v="131.4"/>
    <n v="120.1"/>
    <n v="128.5"/>
    <n v="111.4"/>
    <n v="132.30000000000001"/>
    <n v="157.6"/>
    <n v="144"/>
    <n v="90.5"/>
    <n v="126.8"/>
    <n v="120.4"/>
    <n v="132.1"/>
    <n v="130.30000000000001"/>
    <n v="131.19999999999999"/>
    <n v="127.2"/>
    <n v="122.9"/>
    <n v="126.6"/>
    <n v="120.9"/>
    <n v="120.6"/>
    <n v="122"/>
    <n v="119.4"/>
    <n v="111.7"/>
    <n v="117.8"/>
    <n v="125.1"/>
    <n v="112.3"/>
    <n v="117.2"/>
    <n v="124.8"/>
    <n v="183.21785714285716"/>
    <x v="32"/>
  </r>
  <r>
    <n v="97"/>
    <x v="0"/>
    <x v="2"/>
    <x v="8"/>
    <x v="96"/>
    <n v="125.1"/>
    <n v="131.1"/>
    <n v="120.7"/>
    <n v="129.19999999999999"/>
    <n v="114.7"/>
    <n v="132.30000000000001"/>
    <n v="158.9"/>
    <n v="142.1"/>
    <n v="92.5"/>
    <n v="125.4"/>
    <n v="121.9"/>
    <n v="132.69999999999999"/>
    <n v="131"/>
    <n v="131"/>
    <n v="130.4"/>
    <n v="126.8"/>
    <n v="129.9"/>
    <n v="139.12"/>
    <n v="123.7"/>
    <n v="124.5"/>
    <n v="121.4"/>
    <n v="113.8"/>
    <n v="119.6"/>
    <n v="124.5"/>
    <n v="113.7"/>
    <n v="118.8"/>
    <n v="127"/>
    <n v="185.37214285714285"/>
    <x v="33"/>
  </r>
  <r>
    <n v="98"/>
    <x v="1"/>
    <x v="2"/>
    <x v="8"/>
    <x v="97"/>
    <n v="123.4"/>
    <n v="129"/>
    <n v="115.6"/>
    <n v="128.30000000000001"/>
    <n v="107"/>
    <n v="124"/>
    <n v="168.5"/>
    <n v="165.4"/>
    <n v="86.3"/>
    <n v="134.4"/>
    <n v="119.1"/>
    <n v="132.30000000000001"/>
    <n v="131.5"/>
    <n v="134.69999999999999"/>
    <n v="124"/>
    <n v="118.6"/>
    <n v="123.2"/>
    <n v="121.6"/>
    <n v="115.1"/>
    <n v="120.4"/>
    <n v="117.1"/>
    <n v="109.1"/>
    <n v="117.3"/>
    <n v="126.5"/>
    <n v="112.9"/>
    <n v="116.2"/>
    <n v="123.5"/>
    <n v="183.73214285714286"/>
    <x v="33"/>
  </r>
  <r>
    <n v="99"/>
    <x v="2"/>
    <x v="2"/>
    <x v="8"/>
    <x v="98"/>
    <n v="124.6"/>
    <n v="130.4"/>
    <n v="118.7"/>
    <n v="128.9"/>
    <n v="111.9"/>
    <n v="128.4"/>
    <n v="162.19999999999999"/>
    <n v="150"/>
    <n v="90.4"/>
    <n v="128.4"/>
    <n v="120.7"/>
    <n v="132.5"/>
    <n v="131.19999999999999"/>
    <n v="132"/>
    <n v="127.9"/>
    <n v="123.4"/>
    <n v="127.2"/>
    <n v="121.6"/>
    <n v="120.4"/>
    <n v="122.6"/>
    <n v="119.8"/>
    <n v="111.3"/>
    <n v="118.3"/>
    <n v="125.7"/>
    <n v="113.4"/>
    <n v="117.5"/>
    <n v="125.4"/>
    <n v="184.11071428571427"/>
    <x v="33"/>
  </r>
  <r>
    <n v="100"/>
    <x v="0"/>
    <x v="2"/>
    <x v="9"/>
    <x v="99"/>
    <n v="125.6"/>
    <n v="130.4"/>
    <n v="120.8"/>
    <n v="129.4"/>
    <n v="115.8"/>
    <n v="133.19999999999999"/>
    <n v="157.69999999999999"/>
    <n v="154.19999999999999"/>
    <n v="93.7"/>
    <n v="126.6"/>
    <n v="122.3"/>
    <n v="133.1"/>
    <n v="131.80000000000001"/>
    <n v="131.5"/>
    <n v="131.1"/>
    <n v="127.3"/>
    <n v="130.6"/>
    <n v="139.12"/>
    <n v="124.4"/>
    <n v="125.1"/>
    <n v="122"/>
    <n v="113.8"/>
    <n v="120.1"/>
    <n v="125.1"/>
    <n v="114.2"/>
    <n v="119.2"/>
    <n v="127.7"/>
    <n v="186.85428571428571"/>
    <x v="34"/>
  </r>
  <r>
    <n v="101"/>
    <x v="1"/>
    <x v="2"/>
    <x v="9"/>
    <x v="100"/>
    <n v="123.6"/>
    <n v="128.6"/>
    <n v="115.9"/>
    <n v="128.5"/>
    <n v="109"/>
    <n v="124.1"/>
    <n v="165.8"/>
    <n v="187.2"/>
    <n v="89.4"/>
    <n v="135.80000000000001"/>
    <n v="119.4"/>
    <n v="132.9"/>
    <n v="132.6"/>
    <n v="135.30000000000001"/>
    <n v="124.4"/>
    <n v="118.8"/>
    <n v="123.6"/>
    <n v="122.4"/>
    <n v="114.9"/>
    <n v="120.7"/>
    <n v="117.7"/>
    <n v="109.3"/>
    <n v="117.7"/>
    <n v="126.5"/>
    <n v="113.5"/>
    <n v="116.5"/>
    <n v="124.2"/>
    <n v="185.94285714285712"/>
    <x v="34"/>
  </r>
  <r>
    <n v="102"/>
    <x v="2"/>
    <x v="2"/>
    <x v="9"/>
    <x v="101"/>
    <n v="125"/>
    <n v="129.80000000000001"/>
    <n v="118.9"/>
    <n v="129.1"/>
    <n v="113.3"/>
    <n v="129"/>
    <n v="160.4"/>
    <n v="165.3"/>
    <n v="92.3"/>
    <n v="129.69999999999999"/>
    <n v="121.1"/>
    <n v="133"/>
    <n v="132.1"/>
    <n v="132.5"/>
    <n v="128.5"/>
    <n v="123.8"/>
    <n v="127.8"/>
    <n v="122.4"/>
    <n v="120.8"/>
    <n v="123"/>
    <n v="120.4"/>
    <n v="111.4"/>
    <n v="118.7"/>
    <n v="125.9"/>
    <n v="113.9"/>
    <n v="117.9"/>
    <n v="126.1"/>
    <n v="185.8428571428571"/>
    <x v="34"/>
  </r>
  <r>
    <n v="103"/>
    <x v="0"/>
    <x v="2"/>
    <x v="11"/>
    <x v="102"/>
    <n v="126.1"/>
    <n v="130.6"/>
    <n v="121.7"/>
    <n v="129.5"/>
    <n v="117.8"/>
    <n v="132.1"/>
    <n v="155.19999999999999"/>
    <n v="160.80000000000001"/>
    <n v="94.5"/>
    <n v="128.30000000000001"/>
    <n v="123.1"/>
    <n v="134.19999999999999"/>
    <n v="132.4"/>
    <n v="132.19999999999999"/>
    <n v="132.1"/>
    <n v="128.19999999999999"/>
    <n v="131.5"/>
    <n v="139.12"/>
    <n v="125.6"/>
    <n v="125.6"/>
    <n v="122.6"/>
    <n v="114"/>
    <n v="120.9"/>
    <n v="125.8"/>
    <n v="114.2"/>
    <n v="119.6"/>
    <n v="128.30000000000001"/>
    <n v="188.01857142857145"/>
    <x v="35"/>
  </r>
  <r>
    <n v="104"/>
    <x v="1"/>
    <x v="2"/>
    <x v="11"/>
    <x v="103"/>
    <n v="124"/>
    <n v="129.80000000000001"/>
    <n v="121.5"/>
    <n v="128.6"/>
    <n v="110"/>
    <n v="123.7"/>
    <n v="164.6"/>
    <n v="191.6"/>
    <n v="90.8"/>
    <n v="137.1"/>
    <n v="119.8"/>
    <n v="133.69999999999999"/>
    <n v="133.30000000000001"/>
    <n v="137.6"/>
    <n v="125"/>
    <n v="119.3"/>
    <n v="124.2"/>
    <n v="122.9"/>
    <n v="115.1"/>
    <n v="121"/>
    <n v="118.1"/>
    <n v="109.3"/>
    <n v="117.9"/>
    <n v="126.6"/>
    <n v="113.3"/>
    <n v="116.6"/>
    <n v="124.6"/>
    <n v="187.36071428571432"/>
    <x v="35"/>
  </r>
  <r>
    <n v="105"/>
    <x v="2"/>
    <x v="2"/>
    <x v="11"/>
    <x v="104"/>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n v="187.07499999999999"/>
    <x v="35"/>
  </r>
  <r>
    <n v="106"/>
    <x v="0"/>
    <x v="2"/>
    <x v="12"/>
    <x v="105"/>
    <n v="126.3"/>
    <n v="131.30000000000001"/>
    <n v="123.3"/>
    <n v="129.80000000000001"/>
    <n v="118.3"/>
    <n v="131.6"/>
    <n v="145.5"/>
    <n v="162.1"/>
    <n v="95.4"/>
    <n v="128.9"/>
    <n v="123.3"/>
    <n v="135.1"/>
    <n v="131.4"/>
    <n v="133.1"/>
    <n v="132.5"/>
    <n v="128.5"/>
    <n v="131.9"/>
    <n v="139.12"/>
    <n v="125.7"/>
    <n v="126"/>
    <n v="123.1"/>
    <n v="114"/>
    <n v="121.6"/>
    <n v="125.6"/>
    <n v="114.1"/>
    <n v="119.8"/>
    <n v="127.9"/>
    <n v="187.87928571428577"/>
    <x v="36"/>
  </r>
  <r>
    <n v="107"/>
    <x v="1"/>
    <x v="2"/>
    <x v="12"/>
    <x v="106"/>
    <n v="124.3"/>
    <n v="131.69999999999999"/>
    <n v="127.1"/>
    <n v="128.6"/>
    <n v="110"/>
    <n v="120.8"/>
    <n v="149"/>
    <n v="190.1"/>
    <n v="92.7"/>
    <n v="138.6"/>
    <n v="120.2"/>
    <n v="134.19999999999999"/>
    <n v="131.5"/>
    <n v="138.19999999999999"/>
    <n v="125.4"/>
    <n v="119.5"/>
    <n v="124.5"/>
    <n v="122.4"/>
    <n v="116"/>
    <n v="121"/>
    <n v="118.6"/>
    <n v="109.3"/>
    <n v="118.1"/>
    <n v="126.6"/>
    <n v="113.2"/>
    <n v="116.7"/>
    <n v="124"/>
    <n v="186.7607142857143"/>
    <x v="36"/>
  </r>
  <r>
    <n v="108"/>
    <x v="2"/>
    <x v="2"/>
    <x v="12"/>
    <x v="107"/>
    <n v="125.7"/>
    <n v="131.4"/>
    <n v="124.8"/>
    <n v="129.4"/>
    <n v="115.3"/>
    <n v="126.6"/>
    <n v="146.69999999999999"/>
    <n v="171.5"/>
    <n v="94.5"/>
    <n v="132.1"/>
    <n v="122"/>
    <n v="134.69999999999999"/>
    <n v="131.4"/>
    <n v="134.5"/>
    <n v="129.69999999999999"/>
    <n v="124.8"/>
    <n v="129"/>
    <n v="122.4"/>
    <n v="122"/>
    <n v="123.6"/>
    <n v="121.4"/>
    <n v="111.5"/>
    <n v="119.6"/>
    <n v="126.2"/>
    <n v="113.7"/>
    <n v="118.3"/>
    <n v="126.1"/>
    <n v="186.76785714285717"/>
    <x v="36"/>
  </r>
  <r>
    <n v="109"/>
    <x v="0"/>
    <x v="3"/>
    <x v="0"/>
    <x v="108"/>
    <n v="126.8"/>
    <n v="133.19999999999999"/>
    <n v="126.5"/>
    <n v="130.30000000000001"/>
    <n v="118.9"/>
    <n v="131.6"/>
    <n v="140.1"/>
    <n v="163.80000000000001"/>
    <n v="97.7"/>
    <n v="129.6"/>
    <n v="124.3"/>
    <n v="135.9"/>
    <n v="131.4"/>
    <n v="133.6"/>
    <n v="133.19999999999999"/>
    <n v="128.9"/>
    <n v="132.6"/>
    <n v="139.12"/>
    <n v="126.2"/>
    <n v="126.6"/>
    <n v="123.7"/>
    <n v="113.6"/>
    <n v="121.4"/>
    <n v="126.2"/>
    <n v="114.9"/>
    <n v="120.1"/>
    <n v="128.1"/>
    <n v="188.64357142857145"/>
    <x v="37"/>
  </r>
  <r>
    <n v="110"/>
    <x v="1"/>
    <x v="3"/>
    <x v="0"/>
    <x v="109"/>
    <n v="124.7"/>
    <n v="135.9"/>
    <n v="132"/>
    <n v="129.19999999999999"/>
    <n v="109.7"/>
    <n v="119"/>
    <n v="144.1"/>
    <n v="184.2"/>
    <n v="96.7"/>
    <n v="139.5"/>
    <n v="120.5"/>
    <n v="134.69999999999999"/>
    <n v="131.19999999999999"/>
    <n v="139.5"/>
    <n v="125.8"/>
    <n v="119.8"/>
    <n v="124.9"/>
    <n v="123.4"/>
    <n v="116.9"/>
    <n v="121.6"/>
    <n v="119.1"/>
    <n v="108.9"/>
    <n v="118.5"/>
    <n v="126.4"/>
    <n v="114"/>
    <n v="116.8"/>
    <n v="124.2"/>
    <n v="187.2178571428571"/>
    <x v="37"/>
  </r>
  <r>
    <n v="111"/>
    <x v="2"/>
    <x v="3"/>
    <x v="0"/>
    <x v="110"/>
    <n v="126.1"/>
    <n v="134.1"/>
    <n v="128.6"/>
    <n v="129.9"/>
    <n v="115.5"/>
    <n v="125.7"/>
    <n v="141.5"/>
    <n v="170.7"/>
    <n v="97.4"/>
    <n v="132.9"/>
    <n v="122.7"/>
    <n v="135.30000000000001"/>
    <n v="131.30000000000001"/>
    <n v="135.19999999999999"/>
    <n v="130.30000000000001"/>
    <n v="125.1"/>
    <n v="129.5"/>
    <n v="123.4"/>
    <n v="122.7"/>
    <n v="124.2"/>
    <n v="122"/>
    <n v="111.1"/>
    <n v="119.8"/>
    <n v="126.3"/>
    <n v="114.5"/>
    <n v="118.5"/>
    <n v="126.3"/>
    <n v="187.41071428571428"/>
    <x v="37"/>
  </r>
  <r>
    <n v="112"/>
    <x v="0"/>
    <x v="3"/>
    <x v="1"/>
    <x v="111"/>
    <n v="127.1"/>
    <n v="133.69999999999999"/>
    <n v="127.7"/>
    <n v="130.69999999999999"/>
    <n v="118.5"/>
    <n v="130.4"/>
    <n v="130.9"/>
    <n v="162.80000000000001"/>
    <n v="98.7"/>
    <n v="130.6"/>
    <n v="124.8"/>
    <n v="136.4"/>
    <n v="130.30000000000001"/>
    <n v="134.4"/>
    <n v="133.9"/>
    <n v="129.80000000000001"/>
    <n v="133.4"/>
    <n v="139.12"/>
    <n v="127.5"/>
    <n v="127.1"/>
    <n v="124.3"/>
    <n v="113.9"/>
    <n v="122.3"/>
    <n v="127.1"/>
    <n v="116.8"/>
    <n v="120.9"/>
    <n v="127.9"/>
    <n v="188.50071428571431"/>
    <x v="38"/>
  </r>
  <r>
    <n v="113"/>
    <x v="1"/>
    <x v="3"/>
    <x v="1"/>
    <x v="112"/>
    <n v="124.8"/>
    <n v="135.1"/>
    <n v="130.30000000000001"/>
    <n v="129.6"/>
    <n v="108.4"/>
    <n v="118.6"/>
    <n v="129.19999999999999"/>
    <n v="176.4"/>
    <n v="99.1"/>
    <n v="139.69999999999999"/>
    <n v="120.6"/>
    <n v="135.19999999999999"/>
    <n v="129.1"/>
    <n v="140"/>
    <n v="126.2"/>
    <n v="120.1"/>
    <n v="125.3"/>
    <n v="124.4"/>
    <n v="116"/>
    <n v="121.8"/>
    <n v="119.5"/>
    <n v="109.1"/>
    <n v="118.8"/>
    <n v="126.3"/>
    <n v="116.2"/>
    <n v="117.2"/>
    <n v="123.8"/>
    <n v="185.60357142857143"/>
    <x v="38"/>
  </r>
  <r>
    <n v="114"/>
    <x v="2"/>
    <x v="3"/>
    <x v="1"/>
    <x v="113"/>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n v="186.76785714285725"/>
    <x v="38"/>
  </r>
  <r>
    <n v="115"/>
    <x v="0"/>
    <x v="3"/>
    <x v="2"/>
    <x v="114"/>
    <n v="127.3"/>
    <n v="134.4"/>
    <n v="125.1"/>
    <n v="130.5"/>
    <n v="118.3"/>
    <n v="131.69999999999999"/>
    <n v="130.69999999999999"/>
    <n v="161.19999999999999"/>
    <n v="100.4"/>
    <n v="130.80000000000001"/>
    <n v="124.9"/>
    <n v="137"/>
    <n v="130.4"/>
    <n v="135"/>
    <n v="134.4"/>
    <n v="130.19999999999999"/>
    <n v="133.80000000000001"/>
    <n v="139.12"/>
    <n v="127"/>
    <n v="127.7"/>
    <n v="124.8"/>
    <n v="113.6"/>
    <n v="122.5"/>
    <n v="127.5"/>
    <n v="117.4"/>
    <n v="121.1"/>
    <n v="128"/>
    <n v="188.66142857142859"/>
    <x v="39"/>
  </r>
  <r>
    <n v="116"/>
    <x v="1"/>
    <x v="3"/>
    <x v="2"/>
    <x v="115"/>
    <n v="124.8"/>
    <n v="136.30000000000001"/>
    <n v="123.7"/>
    <n v="129.69999999999999"/>
    <n v="107.9"/>
    <n v="119.9"/>
    <n v="128.1"/>
    <n v="170.3"/>
    <n v="101.8"/>
    <n v="140.1"/>
    <n v="120.7"/>
    <n v="135.4"/>
    <n v="128.9"/>
    <n v="140.6"/>
    <n v="126.4"/>
    <n v="120.3"/>
    <n v="125.5"/>
    <n v="124.9"/>
    <n v="114.8"/>
    <n v="122.3"/>
    <n v="119.7"/>
    <n v="108.5"/>
    <n v="119.1"/>
    <n v="126.4"/>
    <n v="117.1"/>
    <n v="117.3"/>
    <n v="123.8"/>
    <n v="185.08928571428575"/>
    <x v="39"/>
  </r>
  <r>
    <n v="117"/>
    <x v="2"/>
    <x v="3"/>
    <x v="2"/>
    <x v="116"/>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n v="186.70000000000002"/>
    <x v="39"/>
  </r>
  <r>
    <n v="118"/>
    <x v="0"/>
    <x v="3"/>
    <x v="3"/>
    <x v="117"/>
    <n v="127.4"/>
    <n v="135.4"/>
    <n v="123.4"/>
    <n v="131.30000000000001"/>
    <n v="118.2"/>
    <n v="138.1"/>
    <n v="134.1"/>
    <n v="162.69999999999999"/>
    <n v="105"/>
    <n v="131.4"/>
    <n v="125.4"/>
    <n v="137.4"/>
    <n v="131.80000000000001"/>
    <n v="135.5"/>
    <n v="135"/>
    <n v="130.6"/>
    <n v="134.4"/>
    <n v="139.12"/>
    <n v="127"/>
    <n v="128"/>
    <n v="125.2"/>
    <n v="114.4"/>
    <n v="123.2"/>
    <n v="127.9"/>
    <n v="118.4"/>
    <n v="121.7"/>
    <n v="129"/>
    <n v="190.28999999999996"/>
    <x v="40"/>
  </r>
  <r>
    <n v="119"/>
    <x v="1"/>
    <x v="3"/>
    <x v="3"/>
    <x v="118"/>
    <n v="124.9"/>
    <n v="139.30000000000001"/>
    <n v="119.9"/>
    <n v="130.19999999999999"/>
    <n v="108.9"/>
    <n v="131.1"/>
    <n v="136.80000000000001"/>
    <n v="176.9"/>
    <n v="109.1"/>
    <n v="140.4"/>
    <n v="121.1"/>
    <n v="135.9"/>
    <n v="131.80000000000001"/>
    <n v="141.5"/>
    <n v="126.8"/>
    <n v="120.5"/>
    <n v="125.8"/>
    <n v="125.6"/>
    <n v="114.6"/>
    <n v="122.8"/>
    <n v="120"/>
    <n v="110"/>
    <n v="119.5"/>
    <n v="127.6"/>
    <n v="117.6"/>
    <n v="118.2"/>
    <n v="125.3"/>
    <n v="188.21071428571437"/>
    <x v="40"/>
  </r>
  <r>
    <n v="120"/>
    <x v="2"/>
    <x v="3"/>
    <x v="3"/>
    <x v="119"/>
    <n v="126.6"/>
    <n v="136.80000000000001"/>
    <n v="122"/>
    <n v="130.9"/>
    <n v="114.8"/>
    <n v="134.80000000000001"/>
    <n v="135"/>
    <n v="167.5"/>
    <n v="106.4"/>
    <n v="134.4"/>
    <n v="123.6"/>
    <n v="136.69999999999999"/>
    <n v="131.80000000000001"/>
    <n v="137.1"/>
    <n v="131.80000000000001"/>
    <n v="126.4"/>
    <n v="131"/>
    <n v="125.6"/>
    <n v="122.3"/>
    <n v="125.5"/>
    <n v="123.2"/>
    <n v="112.1"/>
    <n v="121.1"/>
    <n v="127.7"/>
    <n v="118.1"/>
    <n v="120"/>
    <n v="127.3"/>
    <n v="188.88928571428576"/>
    <x v="40"/>
  </r>
  <r>
    <n v="121"/>
    <x v="0"/>
    <x v="3"/>
    <x v="4"/>
    <x v="120"/>
    <n v="127.6"/>
    <n v="137.5"/>
    <n v="124.4"/>
    <n v="132.4"/>
    <n v="118.2"/>
    <n v="138.1"/>
    <n v="141.80000000000001"/>
    <n v="166"/>
    <n v="107.5"/>
    <n v="132.19999999999999"/>
    <n v="126.1"/>
    <n v="138.30000000000001"/>
    <n v="133.6"/>
    <n v="136"/>
    <n v="135.4"/>
    <n v="131.1"/>
    <n v="134.80000000000001"/>
    <n v="139.12"/>
    <n v="127.4"/>
    <n v="128.5"/>
    <n v="125.8"/>
    <n v="115.1"/>
    <n v="123.6"/>
    <n v="129.1"/>
    <n v="119.7"/>
    <n v="122.5"/>
    <n v="130.30000000000001"/>
    <n v="192.20785714285716"/>
    <x v="41"/>
  </r>
  <r>
    <n v="122"/>
    <x v="1"/>
    <x v="3"/>
    <x v="4"/>
    <x v="121"/>
    <n v="125"/>
    <n v="142.1"/>
    <n v="127"/>
    <n v="130.4"/>
    <n v="109.6"/>
    <n v="133.5"/>
    <n v="151.4"/>
    <n v="182.8"/>
    <n v="111.1"/>
    <n v="141.5"/>
    <n v="121.5"/>
    <n v="136.30000000000001"/>
    <n v="134.6"/>
    <n v="142.19999999999999"/>
    <n v="127.2"/>
    <n v="120.7"/>
    <n v="126.2"/>
    <n v="126"/>
    <n v="115"/>
    <n v="123.2"/>
    <n v="120.3"/>
    <n v="110.7"/>
    <n v="119.8"/>
    <n v="128"/>
    <n v="118.5"/>
    <n v="118.7"/>
    <n v="126.6"/>
    <n v="191.38928571428571"/>
    <x v="41"/>
  </r>
  <r>
    <n v="123"/>
    <x v="2"/>
    <x v="3"/>
    <x v="4"/>
    <x v="122"/>
    <n v="126.8"/>
    <n v="139.1"/>
    <n v="125.4"/>
    <n v="131.69999999999999"/>
    <n v="115"/>
    <n v="136"/>
    <n v="145.1"/>
    <n v="171.7"/>
    <n v="108.7"/>
    <n v="135.30000000000001"/>
    <n v="124.2"/>
    <n v="137.4"/>
    <n v="134"/>
    <n v="137.69999999999999"/>
    <n v="132.19999999999999"/>
    <n v="126.8"/>
    <n v="131.4"/>
    <n v="126"/>
    <n v="122.7"/>
    <n v="126"/>
    <n v="123.7"/>
    <n v="112.8"/>
    <n v="121.5"/>
    <n v="128.5"/>
    <n v="119.2"/>
    <n v="120.7"/>
    <n v="128.6"/>
    <n v="191.29642857142855"/>
    <x v="41"/>
  </r>
  <r>
    <n v="124"/>
    <x v="0"/>
    <x v="3"/>
    <x v="5"/>
    <x v="123"/>
    <n v="128.6"/>
    <n v="138.6"/>
    <n v="126.6"/>
    <n v="133.6"/>
    <n v="118.6"/>
    <n v="137.4"/>
    <n v="152.5"/>
    <n v="169.2"/>
    <n v="108.8"/>
    <n v="133.1"/>
    <n v="126.4"/>
    <n v="139.19999999999999"/>
    <n v="136"/>
    <n v="137.19999999999999"/>
    <n v="136.30000000000001"/>
    <n v="131.6"/>
    <n v="135.6"/>
    <n v="139.12"/>
    <n v="128"/>
    <n v="129.30000000000001"/>
    <n v="126.2"/>
    <n v="116.3"/>
    <n v="124.1"/>
    <n v="130.19999999999999"/>
    <n v="119.9"/>
    <n v="123.3"/>
    <n v="131.9"/>
    <n v="194.40785714285713"/>
    <x v="42"/>
  </r>
  <r>
    <n v="125"/>
    <x v="1"/>
    <x v="3"/>
    <x v="5"/>
    <x v="124"/>
    <n v="125.9"/>
    <n v="143.9"/>
    <n v="130.9"/>
    <n v="131"/>
    <n v="110.2"/>
    <n v="135.5"/>
    <n v="173.7"/>
    <n v="184.4"/>
    <n v="112"/>
    <n v="142.80000000000001"/>
    <n v="121.6"/>
    <n v="136.9"/>
    <n v="138.19999999999999"/>
    <n v="142.69999999999999"/>
    <n v="127.6"/>
    <n v="121.1"/>
    <n v="126.6"/>
    <n v="125.5"/>
    <n v="115.5"/>
    <n v="123.2"/>
    <n v="120.6"/>
    <n v="112.3"/>
    <n v="119.9"/>
    <n v="129.30000000000001"/>
    <n v="118.8"/>
    <n v="119.6"/>
    <n v="128.1"/>
    <n v="194.5535714285715"/>
    <x v="42"/>
  </r>
  <r>
    <n v="126"/>
    <x v="2"/>
    <x v="3"/>
    <x v="5"/>
    <x v="125"/>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n v="193.80714285714288"/>
    <x v="42"/>
  </r>
  <r>
    <n v="127"/>
    <x v="0"/>
    <x v="3"/>
    <x v="6"/>
    <x v="126"/>
    <n v="129.30000000000001"/>
    <n v="139.5"/>
    <n v="129.6"/>
    <n v="134.5"/>
    <n v="119.5"/>
    <n v="138.5"/>
    <n v="158.19999999999999"/>
    <n v="171.8"/>
    <n v="110.3"/>
    <n v="134.30000000000001"/>
    <n v="127.3"/>
    <n v="139.9"/>
    <n v="137.6"/>
    <n v="138"/>
    <n v="137.19999999999999"/>
    <n v="132.19999999999999"/>
    <n v="136.5"/>
    <n v="139.12"/>
    <n v="128.19999999999999"/>
    <n v="130"/>
    <n v="126.7"/>
    <n v="116.4"/>
    <n v="125.2"/>
    <n v="130.80000000000001"/>
    <n v="120.9"/>
    <n v="123.8"/>
    <n v="133"/>
    <n v="196.3078571428571"/>
    <x v="43"/>
  </r>
  <r>
    <n v="128"/>
    <x v="1"/>
    <x v="3"/>
    <x v="6"/>
    <x v="127"/>
    <n v="126.8"/>
    <n v="144.19999999999999"/>
    <n v="136.6"/>
    <n v="131.80000000000001"/>
    <n v="111"/>
    <n v="137"/>
    <n v="179.5"/>
    <n v="188.4"/>
    <n v="113.3"/>
    <n v="143.9"/>
    <n v="121.7"/>
    <n v="137.5"/>
    <n v="139.80000000000001"/>
    <n v="142.9"/>
    <n v="127.9"/>
    <n v="121.1"/>
    <n v="126.9"/>
    <n v="126.4"/>
    <n v="115.5"/>
    <n v="123.5"/>
    <n v="120.9"/>
    <n v="111.7"/>
    <n v="120.3"/>
    <n v="130.80000000000001"/>
    <n v="120"/>
    <n v="119.9"/>
    <n v="129"/>
    <n v="196.52500000000001"/>
    <x v="43"/>
  </r>
  <r>
    <n v="129"/>
    <x v="2"/>
    <x v="3"/>
    <x v="6"/>
    <x v="128"/>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n v="195.75714285714284"/>
    <x v="43"/>
  </r>
  <r>
    <n v="130"/>
    <x v="0"/>
    <x v="3"/>
    <x v="7"/>
    <x v="129"/>
    <n v="130.1"/>
    <n v="138.80000000000001"/>
    <n v="130.30000000000001"/>
    <n v="135.30000000000001"/>
    <n v="119.9"/>
    <n v="140.19999999999999"/>
    <n v="156.9"/>
    <n v="172.2"/>
    <n v="112.1"/>
    <n v="134.9"/>
    <n v="128.1"/>
    <n v="140.69999999999999"/>
    <n v="138"/>
    <n v="138.9"/>
    <n v="137.80000000000001"/>
    <n v="133"/>
    <n v="137.1"/>
    <n v="139.12"/>
    <n v="129.1"/>
    <n v="130.6"/>
    <n v="127"/>
    <n v="116"/>
    <n v="125.5"/>
    <n v="131.9"/>
    <n v="122"/>
    <n v="124.2"/>
    <n v="133.5"/>
    <n v="197.12928571428574"/>
    <x v="44"/>
  </r>
  <r>
    <n v="131"/>
    <x v="1"/>
    <x v="3"/>
    <x v="7"/>
    <x v="130"/>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n v="194.67857142857136"/>
    <x v="44"/>
  </r>
  <r>
    <n v="132"/>
    <x v="2"/>
    <x v="3"/>
    <x v="7"/>
    <x v="131"/>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n v="195.60714285714289"/>
    <x v="44"/>
  </r>
  <r>
    <n v="133"/>
    <x v="0"/>
    <x v="3"/>
    <x v="8"/>
    <x v="132"/>
    <n v="130.80000000000001"/>
    <n v="138.19999999999999"/>
    <n v="130.5"/>
    <n v="135.5"/>
    <n v="120.2"/>
    <n v="139.19999999999999"/>
    <n v="149.5"/>
    <n v="170.4"/>
    <n v="113.1"/>
    <n v="135.80000000000001"/>
    <n v="128.80000000000001"/>
    <n v="141.5"/>
    <n v="137.19999999999999"/>
    <n v="139.9"/>
    <n v="138.5"/>
    <n v="133.5"/>
    <n v="137.80000000000001"/>
    <n v="139.12"/>
    <n v="129.69999999999999"/>
    <n v="131.1"/>
    <n v="127.8"/>
    <n v="117"/>
    <n v="125.7"/>
    <n v="132.19999999999999"/>
    <n v="122.8"/>
    <n v="124.9"/>
    <n v="133.4"/>
    <n v="196.9542857142857"/>
    <x v="45"/>
  </r>
  <r>
    <n v="134"/>
    <x v="1"/>
    <x v="3"/>
    <x v="8"/>
    <x v="133"/>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n v="192.88928571428571"/>
    <x v="45"/>
  </r>
  <r>
    <n v="135"/>
    <x v="2"/>
    <x v="3"/>
    <x v="8"/>
    <x v="134"/>
    <n v="129.9"/>
    <n v="138"/>
    <n v="130.5"/>
    <n v="134.4"/>
    <n v="117.2"/>
    <n v="136.1"/>
    <n v="150.69999999999999"/>
    <n v="171.5"/>
    <n v="113.8"/>
    <n v="138.80000000000001"/>
    <n v="126"/>
    <n v="140.19999999999999"/>
    <n v="136.6"/>
    <n v="141"/>
    <n v="134.6"/>
    <n v="128.6"/>
    <n v="133.80000000000001"/>
    <n v="127.9"/>
    <n v="124.1"/>
    <n v="127.9"/>
    <n v="125.4"/>
    <n v="114.3"/>
    <n v="122.9"/>
    <n v="131.80000000000001"/>
    <n v="122.1"/>
    <n v="122.8"/>
    <n v="130.9"/>
    <n v="194.87499999999997"/>
    <x v="45"/>
  </r>
  <r>
    <n v="136"/>
    <x v="0"/>
    <x v="3"/>
    <x v="9"/>
    <x v="135"/>
    <n v="131.30000000000001"/>
    <n v="137.6"/>
    <n v="130.1"/>
    <n v="136"/>
    <n v="120.8"/>
    <n v="138.4"/>
    <n v="149.19999999999999"/>
    <n v="170.2"/>
    <n v="113.4"/>
    <n v="136.30000000000001"/>
    <n v="128.69999999999999"/>
    <n v="142.4"/>
    <n v="137.4"/>
    <n v="140.9"/>
    <n v="139.6"/>
    <n v="134.30000000000001"/>
    <n v="138.80000000000001"/>
    <n v="139.12"/>
    <n v="129.80000000000001"/>
    <n v="131.80000000000001"/>
    <n v="128.69999999999999"/>
    <n v="117.8"/>
    <n v="126.5"/>
    <n v="133"/>
    <n v="123"/>
    <n v="125.7"/>
    <n v="133.80000000000001"/>
    <n v="197.40428571428575"/>
    <x v="46"/>
  </r>
  <r>
    <n v="137"/>
    <x v="1"/>
    <x v="3"/>
    <x v="9"/>
    <x v="136"/>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n v="193.56428571428569"/>
    <x v="46"/>
  </r>
  <r>
    <n v="138"/>
    <x v="2"/>
    <x v="3"/>
    <x v="9"/>
    <x v="137"/>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n v="195.42142857142852"/>
    <x v="46"/>
  </r>
  <r>
    <n v="139"/>
    <x v="0"/>
    <x v="3"/>
    <x v="11"/>
    <x v="138"/>
    <n v="132"/>
    <n v="137.4"/>
    <n v="130.6"/>
    <n v="136.19999999999999"/>
    <n v="121.1"/>
    <n v="136.9"/>
    <n v="141.80000000000001"/>
    <n v="170"/>
    <n v="113.4"/>
    <n v="136.80000000000001"/>
    <n v="128.69999999999999"/>
    <n v="143.1"/>
    <n v="136.6"/>
    <n v="141.19999999999999"/>
    <n v="139.9"/>
    <n v="134.5"/>
    <n v="139.19999999999999"/>
    <n v="139.12"/>
    <n v="130.30000000000001"/>
    <n v="132.1"/>
    <n v="129.1"/>
    <n v="118.2"/>
    <n v="126.9"/>
    <n v="133.69999999999999"/>
    <n v="123.5"/>
    <n v="126.1"/>
    <n v="133.6"/>
    <n v="197.06500000000003"/>
    <x v="47"/>
  </r>
  <r>
    <n v="140"/>
    <x v="1"/>
    <x v="3"/>
    <x v="11"/>
    <x v="139"/>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n v="193.20000000000002"/>
    <x v="47"/>
  </r>
  <r>
    <n v="141"/>
    <x v="2"/>
    <x v="3"/>
    <x v="11"/>
    <x v="140"/>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n v="195.10357142857146"/>
    <x v="47"/>
  </r>
  <r>
    <n v="142"/>
    <x v="0"/>
    <x v="3"/>
    <x v="12"/>
    <x v="141"/>
    <n v="132.6"/>
    <n v="137.30000000000001"/>
    <n v="131.6"/>
    <n v="136.30000000000001"/>
    <n v="121.6"/>
    <n v="135.6"/>
    <n v="127.5"/>
    <n v="167.9"/>
    <n v="113.8"/>
    <n v="137.5"/>
    <n v="129.1"/>
    <n v="143.6"/>
    <n v="134.69999999999999"/>
    <n v="142.4"/>
    <n v="140.4"/>
    <n v="135.19999999999999"/>
    <n v="139.69999999999999"/>
    <n v="139.12"/>
    <n v="132"/>
    <n v="132.9"/>
    <n v="129.69999999999999"/>
    <n v="118.6"/>
    <n v="127.3"/>
    <n v="134.19999999999999"/>
    <n v="121.9"/>
    <n v="126.3"/>
    <n v="132.80000000000001"/>
    <n v="196.18285714285713"/>
    <x v="48"/>
  </r>
  <r>
    <n v="143"/>
    <x v="1"/>
    <x v="3"/>
    <x v="12"/>
    <x v="142"/>
    <n v="131.6"/>
    <n v="138.19999999999999"/>
    <n v="134.9"/>
    <n v="133.1"/>
    <n v="113.5"/>
    <n v="129.30000000000001"/>
    <n v="121.1"/>
    <n v="170.3"/>
    <n v="115.5"/>
    <n v="145.5"/>
    <n v="123.1"/>
    <n v="140.9"/>
    <n v="132.80000000000001"/>
    <n v="145"/>
    <n v="130"/>
    <n v="122.2"/>
    <n v="128.80000000000001"/>
    <n v="128.5"/>
    <n v="117.8"/>
    <n v="125"/>
    <n v="122.3"/>
    <n v="113.7"/>
    <n v="121.8"/>
    <n v="132.30000000000001"/>
    <n v="119.9"/>
    <n v="121.4"/>
    <n v="127.6"/>
    <n v="191.46071428571432"/>
    <x v="48"/>
  </r>
  <r>
    <n v="144"/>
    <x v="2"/>
    <x v="3"/>
    <x v="12"/>
    <x v="143"/>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n v="193.89285714285711"/>
    <x v="48"/>
  </r>
  <r>
    <n v="145"/>
    <x v="0"/>
    <x v="4"/>
    <x v="0"/>
    <x v="144"/>
    <n v="133.1"/>
    <n v="137.80000000000001"/>
    <n v="131.9"/>
    <n v="136.69999999999999"/>
    <n v="122"/>
    <n v="136"/>
    <n v="119.8"/>
    <n v="161.69999999999999"/>
    <n v="114.8"/>
    <n v="136.9"/>
    <n v="129"/>
    <n v="143.9"/>
    <n v="133.69999999999999"/>
    <n v="143.1"/>
    <n v="140.69999999999999"/>
    <n v="135.80000000000001"/>
    <n v="140"/>
    <n v="139.12"/>
    <n v="132.1"/>
    <n v="133.19999999999999"/>
    <n v="129.9"/>
    <n v="119.1"/>
    <n v="127"/>
    <n v="134.6"/>
    <n v="122.3"/>
    <n v="126.6"/>
    <n v="132.4"/>
    <n v="195.4864285714286"/>
    <x v="49"/>
  </r>
  <r>
    <n v="146"/>
    <x v="1"/>
    <x v="4"/>
    <x v="0"/>
    <x v="145"/>
    <n v="132.19999999999999"/>
    <n v="138.9"/>
    <n v="132.6"/>
    <n v="133.1"/>
    <n v="114"/>
    <n v="129.6"/>
    <n v="118.7"/>
    <n v="155.1"/>
    <n v="117.3"/>
    <n v="144.9"/>
    <n v="123.2"/>
    <n v="141.6"/>
    <n v="132"/>
    <n v="145.6"/>
    <n v="130.19999999999999"/>
    <n v="122.3"/>
    <n v="129"/>
    <n v="129.6"/>
    <n v="118"/>
    <n v="125.1"/>
    <n v="122.6"/>
    <n v="115.2"/>
    <n v="122"/>
    <n v="132.4"/>
    <n v="120.9"/>
    <n v="122.1"/>
    <n v="127.8"/>
    <n v="190.52857142857144"/>
    <x v="49"/>
  </r>
  <r>
    <n v="147"/>
    <x v="2"/>
    <x v="4"/>
    <x v="0"/>
    <x v="146"/>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n v="193.15714285714284"/>
    <x v="49"/>
  </r>
  <r>
    <n v="148"/>
    <x v="0"/>
    <x v="4"/>
    <x v="1"/>
    <x v="147"/>
    <n v="133.30000000000001"/>
    <n v="138.30000000000001"/>
    <n v="129.30000000000001"/>
    <n v="137.19999999999999"/>
    <n v="122.1"/>
    <n v="138.69999999999999"/>
    <n v="119.1"/>
    <n v="156.9"/>
    <n v="116.2"/>
    <n v="136"/>
    <n v="129.4"/>
    <n v="144.4"/>
    <n v="133.6"/>
    <n v="143.69999999999999"/>
    <n v="140.9"/>
    <n v="135.80000000000001"/>
    <n v="140.19999999999999"/>
    <n v="139.12"/>
    <n v="133.19999999999999"/>
    <n v="133.6"/>
    <n v="130.1"/>
    <n v="119.5"/>
    <n v="127.7"/>
    <n v="134.9"/>
    <n v="123.2"/>
    <n v="127"/>
    <n v="132.6"/>
    <n v="195.50785714285715"/>
    <x v="50"/>
  </r>
  <r>
    <n v="149"/>
    <x v="1"/>
    <x v="4"/>
    <x v="1"/>
    <x v="148"/>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n v="190.20714285714283"/>
    <x v="50"/>
  </r>
  <r>
    <n v="150"/>
    <x v="2"/>
    <x v="4"/>
    <x v="1"/>
    <x v="149"/>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n v="193.04642857142858"/>
    <x v="50"/>
  </r>
  <r>
    <n v="151"/>
    <x v="0"/>
    <x v="4"/>
    <x v="2"/>
    <x v="150"/>
    <n v="133.6"/>
    <n v="138.80000000000001"/>
    <n v="128.80000000000001"/>
    <n v="137.19999999999999"/>
    <n v="121.6"/>
    <n v="139.69999999999999"/>
    <n v="119.7"/>
    <n v="148"/>
    <n v="116.9"/>
    <n v="135.6"/>
    <n v="129.80000000000001"/>
    <n v="145.4"/>
    <n v="133.4"/>
    <n v="144.19999999999999"/>
    <n v="141.6"/>
    <n v="136.19999999999999"/>
    <n v="140.80000000000001"/>
    <n v="139.12"/>
    <n v="134.19999999999999"/>
    <n v="134.1"/>
    <n v="130.6"/>
    <n v="119.8"/>
    <n v="128.30000000000001"/>
    <n v="135.19999999999999"/>
    <n v="123.3"/>
    <n v="127.4"/>
    <n v="132.80000000000001"/>
    <n v="195.31500000000003"/>
    <x v="51"/>
  </r>
  <r>
    <n v="152"/>
    <x v="1"/>
    <x v="4"/>
    <x v="2"/>
    <x v="151"/>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n v="190.50000000000006"/>
    <x v="51"/>
  </r>
  <r>
    <n v="153"/>
    <x v="2"/>
    <x v="4"/>
    <x v="2"/>
    <x v="152"/>
    <n v="133.30000000000001"/>
    <n v="139"/>
    <n v="128.6"/>
    <n v="136.30000000000001"/>
    <n v="118.8"/>
    <n v="138.30000000000001"/>
    <n v="120.5"/>
    <n v="143.9"/>
    <n v="118"/>
    <n v="137.9"/>
    <n v="127.2"/>
    <n v="144"/>
    <n v="133.1"/>
    <n v="145.1"/>
    <n v="137.30000000000001"/>
    <n v="130.6"/>
    <n v="136.4"/>
    <n v="131.1"/>
    <n v="129.1"/>
    <n v="130.1"/>
    <n v="127.8"/>
    <n v="117.6"/>
    <n v="125"/>
    <n v="133.80000000000001"/>
    <n v="122.6"/>
    <n v="125.1"/>
    <n v="130.9"/>
    <n v="193.0500000000001"/>
    <x v="51"/>
  </r>
  <r>
    <n v="154"/>
    <x v="0"/>
    <x v="4"/>
    <x v="3"/>
    <x v="153"/>
    <n v="133.19999999999999"/>
    <n v="138.69999999999999"/>
    <n v="127.1"/>
    <n v="137.69999999999999"/>
    <n v="121.3"/>
    <n v="141.80000000000001"/>
    <n v="121.5"/>
    <n v="144.5"/>
    <n v="117.4"/>
    <n v="134.1"/>
    <n v="130"/>
    <n v="145.5"/>
    <n v="133.5"/>
    <n v="144.4"/>
    <n v="142.4"/>
    <n v="136.80000000000001"/>
    <n v="141.6"/>
    <n v="139.12"/>
    <n v="135"/>
    <n v="134.30000000000001"/>
    <n v="131"/>
    <n v="119.2"/>
    <n v="128.30000000000001"/>
    <n v="135.69999999999999"/>
    <n v="123.7"/>
    <n v="127.5"/>
    <n v="132.9"/>
    <n v="195.31857142857143"/>
    <x v="52"/>
  </r>
  <r>
    <n v="155"/>
    <x v="1"/>
    <x v="4"/>
    <x v="3"/>
    <x v="154"/>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n v="190.82857142857145"/>
    <x v="52"/>
  </r>
  <r>
    <n v="156"/>
    <x v="2"/>
    <x v="4"/>
    <x v="3"/>
    <x v="155"/>
    <n v="133"/>
    <n v="139.4"/>
    <n v="126.1"/>
    <n v="137.19999999999999"/>
    <n v="118.4"/>
    <n v="139.9"/>
    <n v="123.4"/>
    <n v="140.9"/>
    <n v="118.5"/>
    <n v="136.5"/>
    <n v="127.4"/>
    <n v="144.19999999999999"/>
    <n v="133.5"/>
    <n v="145.4"/>
    <n v="138"/>
    <n v="131.1"/>
    <n v="137"/>
    <n v="131.69999999999999"/>
    <n v="129.80000000000001"/>
    <n v="130.4"/>
    <n v="128.1"/>
    <n v="116.6"/>
    <n v="125.1"/>
    <n v="134.5"/>
    <n v="123.1"/>
    <n v="125.1"/>
    <n v="131.1"/>
    <n v="193.18571428571437"/>
    <x v="52"/>
  </r>
  <r>
    <n v="157"/>
    <x v="0"/>
    <x v="4"/>
    <x v="4"/>
    <x v="156"/>
    <n v="133.1"/>
    <n v="140.30000000000001"/>
    <n v="126.8"/>
    <n v="138.19999999999999"/>
    <n v="120.8"/>
    <n v="140.19999999999999"/>
    <n v="123.8"/>
    <n v="141.80000000000001"/>
    <n v="118.6"/>
    <n v="134"/>
    <n v="130.30000000000001"/>
    <n v="145.80000000000001"/>
    <n v="133.80000000000001"/>
    <n v="145.5"/>
    <n v="142.5"/>
    <n v="137.30000000000001"/>
    <n v="141.80000000000001"/>
    <n v="139.12"/>
    <n v="135"/>
    <n v="134.9"/>
    <n v="131.4"/>
    <n v="119.4"/>
    <n v="129.4"/>
    <n v="136.30000000000001"/>
    <n v="123.7"/>
    <n v="127.9"/>
    <n v="133.30000000000001"/>
    <n v="195.64357142857139"/>
    <x v="53"/>
  </r>
  <r>
    <n v="158"/>
    <x v="1"/>
    <x v="4"/>
    <x v="4"/>
    <x v="157"/>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n v="190.99285714285722"/>
    <x v="53"/>
  </r>
  <r>
    <n v="159"/>
    <x v="2"/>
    <x v="4"/>
    <x v="4"/>
    <x v="158"/>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n v="193.43214285714279"/>
    <x v="53"/>
  </r>
  <r>
    <n v="160"/>
    <x v="0"/>
    <x v="4"/>
    <x v="5"/>
    <x v="159"/>
    <n v="133.5"/>
    <n v="143.69999999999999"/>
    <n v="128"/>
    <n v="138.6"/>
    <n v="120.9"/>
    <n v="140.9"/>
    <n v="128.80000000000001"/>
    <n v="140.19999999999999"/>
    <n v="118.9"/>
    <n v="133.5"/>
    <n v="130.4"/>
    <n v="146.5"/>
    <n v="134.9"/>
    <n v="145.80000000000001"/>
    <n v="143.1"/>
    <n v="137.69999999999999"/>
    <n v="142.30000000000001"/>
    <n v="139.12"/>
    <n v="134.80000000000001"/>
    <n v="135.19999999999999"/>
    <n v="131.30000000000001"/>
    <n v="119.4"/>
    <n v="129.80000000000001"/>
    <n v="136.9"/>
    <n v="124.1"/>
    <n v="128.1"/>
    <n v="133.9"/>
    <n v="196.60428571428571"/>
    <x v="54"/>
  </r>
  <r>
    <n v="161"/>
    <x v="1"/>
    <x v="4"/>
    <x v="5"/>
    <x v="160"/>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n v="192.54642857142852"/>
    <x v="54"/>
  </r>
  <r>
    <n v="162"/>
    <x v="2"/>
    <x v="4"/>
    <x v="5"/>
    <x v="161"/>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n v="194.5964285714285"/>
    <x v="54"/>
  </r>
  <r>
    <n v="163"/>
    <x v="0"/>
    <x v="4"/>
    <x v="6"/>
    <x v="162"/>
    <n v="134"/>
    <n v="144.19999999999999"/>
    <n v="129.80000000000001"/>
    <n v="139"/>
    <n v="120.9"/>
    <n v="143.9"/>
    <n v="151.5"/>
    <n v="138.1"/>
    <n v="120"/>
    <n v="133.9"/>
    <n v="131.4"/>
    <n v="147.69999999999999"/>
    <n v="138.5"/>
    <n v="147.4"/>
    <n v="144.30000000000001"/>
    <n v="138.1"/>
    <n v="143.5"/>
    <n v="139.12"/>
    <n v="135.30000000000001"/>
    <n v="136.1"/>
    <n v="132.1"/>
    <n v="119.1"/>
    <n v="130.6"/>
    <n v="138.6"/>
    <n v="124.4"/>
    <n v="128.6"/>
    <n v="136.19999999999999"/>
    <n v="199.52214285714294"/>
    <x v="55"/>
  </r>
  <r>
    <n v="164"/>
    <x v="1"/>
    <x v="4"/>
    <x v="6"/>
    <x v="163"/>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n v="195.59999999999997"/>
    <x v="55"/>
  </r>
  <r>
    <n v="165"/>
    <x v="2"/>
    <x v="4"/>
    <x v="6"/>
    <x v="164"/>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n v="197.54642857142855"/>
    <x v="55"/>
  </r>
  <r>
    <n v="166"/>
    <x v="0"/>
    <x v="4"/>
    <x v="7"/>
    <x v="165"/>
    <n v="134.80000000000001"/>
    <n v="143.1"/>
    <n v="130"/>
    <n v="139.4"/>
    <n v="120.5"/>
    <n v="148"/>
    <n v="162.9"/>
    <n v="137.4"/>
    <n v="120.8"/>
    <n v="134.69999999999999"/>
    <n v="131.6"/>
    <n v="148.69999999999999"/>
    <n v="140.6"/>
    <n v="149"/>
    <n v="145.30000000000001"/>
    <n v="139.19999999999999"/>
    <n v="144.5"/>
    <n v="139.12"/>
    <n v="136.4"/>
    <n v="137.30000000000001"/>
    <n v="133"/>
    <n v="120.3"/>
    <n v="131.5"/>
    <n v="140.19999999999999"/>
    <n v="125.4"/>
    <n v="129.69999999999999"/>
    <n v="137.80000000000001"/>
    <n v="201.52571428571426"/>
    <x v="56"/>
  </r>
  <r>
    <n v="167"/>
    <x v="1"/>
    <x v="4"/>
    <x v="7"/>
    <x v="166"/>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n v="196.41071428571425"/>
    <x v="56"/>
  </r>
  <r>
    <n v="168"/>
    <x v="2"/>
    <x v="4"/>
    <x v="7"/>
    <x v="16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n v="199.13928571428573"/>
    <x v="56"/>
  </r>
  <r>
    <n v="169"/>
    <x v="0"/>
    <x v="4"/>
    <x v="8"/>
    <x v="168"/>
    <n v="135.19999999999999"/>
    <n v="142"/>
    <n v="130.5"/>
    <n v="140.19999999999999"/>
    <n v="120.7"/>
    <n v="147.80000000000001"/>
    <n v="154.5"/>
    <n v="137.1"/>
    <n v="121"/>
    <n v="134.69999999999999"/>
    <n v="131.69999999999999"/>
    <n v="149.30000000000001"/>
    <n v="139.6"/>
    <n v="149.80000000000001"/>
    <n v="146.1"/>
    <n v="139.69999999999999"/>
    <n v="145.19999999999999"/>
    <n v="139.12"/>
    <n v="137.4"/>
    <n v="137.9"/>
    <n v="133.4"/>
    <n v="121.2"/>
    <n v="132.30000000000001"/>
    <n v="139.6"/>
    <n v="126.7"/>
    <n v="130.30000000000001"/>
    <n v="137.6"/>
    <n v="201.23999999999995"/>
    <x v="57"/>
  </r>
  <r>
    <n v="170"/>
    <x v="1"/>
    <x v="4"/>
    <x v="8"/>
    <x v="169"/>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n v="195.15714285714284"/>
    <x v="57"/>
  </r>
  <r>
    <n v="171"/>
    <x v="2"/>
    <x v="4"/>
    <x v="8"/>
    <x v="170"/>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n v="198.52499999999995"/>
    <x v="57"/>
  </r>
  <r>
    <n v="172"/>
    <x v="0"/>
    <x v="4"/>
    <x v="9"/>
    <x v="171"/>
    <n v="135.9"/>
    <n v="141.9"/>
    <n v="131"/>
    <n v="141.5"/>
    <n v="121.4"/>
    <n v="146.69999999999999"/>
    <n v="157.1"/>
    <n v="136.4"/>
    <n v="121.4"/>
    <n v="135.6"/>
    <n v="131.30000000000001"/>
    <n v="150.30000000000001"/>
    <n v="140.4"/>
    <n v="150.5"/>
    <n v="147.19999999999999"/>
    <n v="140.6"/>
    <n v="146.19999999999999"/>
    <n v="139.12"/>
    <n v="138.1"/>
    <n v="138.4"/>
    <n v="134.19999999999999"/>
    <n v="121"/>
    <n v="133"/>
    <n v="140.1"/>
    <n v="127.4"/>
    <n v="130.69999999999999"/>
    <n v="138.30000000000001"/>
    <n v="202.04"/>
    <x v="58"/>
  </r>
  <r>
    <n v="173"/>
    <x v="1"/>
    <x v="4"/>
    <x v="9"/>
    <x v="172"/>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n v="196.62857142857146"/>
    <x v="58"/>
  </r>
  <r>
    <n v="174"/>
    <x v="2"/>
    <x v="4"/>
    <x v="9"/>
    <x v="173"/>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n v="199.57142857142858"/>
    <x v="58"/>
  </r>
  <r>
    <n v="175"/>
    <x v="0"/>
    <x v="4"/>
    <x v="11"/>
    <x v="174"/>
    <n v="136.30000000000001"/>
    <n v="142.5"/>
    <n v="140.5"/>
    <n v="141.5"/>
    <n v="121.6"/>
    <n v="147.30000000000001"/>
    <n v="168"/>
    <n v="135.80000000000001"/>
    <n v="122.5"/>
    <n v="136"/>
    <n v="131.9"/>
    <n v="151.4"/>
    <n v="142.4"/>
    <n v="152.1"/>
    <n v="148.19999999999999"/>
    <n v="141.5"/>
    <n v="147.30000000000001"/>
    <n v="139.12"/>
    <n v="141.1"/>
    <n v="139.4"/>
    <n v="135.80000000000001"/>
    <n v="121.6"/>
    <n v="133.69999999999999"/>
    <n v="141.5"/>
    <n v="128.1"/>
    <n v="131.69999999999999"/>
    <n v="140"/>
    <n v="204.59357142857149"/>
    <x v="59"/>
  </r>
  <r>
    <n v="176"/>
    <x v="1"/>
    <x v="4"/>
    <x v="11"/>
    <x v="175"/>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n v="199.35"/>
    <x v="59"/>
  </r>
  <r>
    <n v="177"/>
    <x v="2"/>
    <x v="4"/>
    <x v="11"/>
    <x v="176"/>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n v="202.21071428571432"/>
    <x v="59"/>
  </r>
  <r>
    <n v="178"/>
    <x v="0"/>
    <x v="4"/>
    <x v="12"/>
    <x v="177"/>
    <n v="136.4"/>
    <n v="143.69999999999999"/>
    <n v="144.80000000000001"/>
    <n v="141.9"/>
    <n v="123.1"/>
    <n v="147.19999999999999"/>
    <n v="161"/>
    <n v="133.80000000000001"/>
    <n v="121.9"/>
    <n v="135.80000000000001"/>
    <n v="131.1"/>
    <n v="151.4"/>
    <n v="141.5"/>
    <n v="153.19999999999999"/>
    <n v="148"/>
    <n v="141.9"/>
    <n v="147.19999999999999"/>
    <n v="139.12"/>
    <n v="142.6"/>
    <n v="139.5"/>
    <n v="136.1"/>
    <n v="122"/>
    <n v="133.4"/>
    <n v="141.1"/>
    <n v="127.8"/>
    <n v="131.9"/>
    <n v="139.80000000000001"/>
    <n v="204.42928571428573"/>
    <x v="60"/>
  </r>
  <r>
    <n v="179"/>
    <x v="1"/>
    <x v="4"/>
    <x v="12"/>
    <x v="178"/>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n v="197.46428571428578"/>
    <x v="60"/>
  </r>
  <r>
    <n v="180"/>
    <x v="2"/>
    <x v="4"/>
    <x v="12"/>
    <x v="179"/>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n v="201.44285714285715"/>
    <x v="60"/>
  </r>
  <r>
    <n v="181"/>
    <x v="0"/>
    <x v="5"/>
    <x v="0"/>
    <x v="180"/>
    <n v="136.6"/>
    <n v="144.4"/>
    <n v="143.80000000000001"/>
    <n v="142"/>
    <n v="123.2"/>
    <n v="147.9"/>
    <n v="152.1"/>
    <n v="131.80000000000001"/>
    <n v="119.5"/>
    <n v="136"/>
    <n v="131.19999999999999"/>
    <n v="151.80000000000001"/>
    <n v="140.4"/>
    <n v="153.6"/>
    <n v="148.30000000000001"/>
    <n v="142.30000000000001"/>
    <n v="147.5"/>
    <n v="139.12"/>
    <n v="142.30000000000001"/>
    <n v="139.80000000000001"/>
    <n v="136"/>
    <n v="122.7"/>
    <n v="134.30000000000001"/>
    <n v="141.6"/>
    <n v="128.6"/>
    <n v="132.30000000000001"/>
    <n v="139.30000000000001"/>
    <n v="203.66857142857151"/>
    <x v="61"/>
  </r>
  <r>
    <n v="182"/>
    <x v="1"/>
    <x v="5"/>
    <x v="0"/>
    <x v="181"/>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n v="196.41071428571431"/>
    <x v="61"/>
  </r>
  <r>
    <n v="183"/>
    <x v="2"/>
    <x v="5"/>
    <x v="0"/>
    <x v="182"/>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n v="200.60714285714286"/>
    <x v="61"/>
  </r>
  <r>
    <n v="184"/>
    <x v="0"/>
    <x v="5"/>
    <x v="1"/>
    <x v="183"/>
    <n v="136.4"/>
    <n v="143.69999999999999"/>
    <n v="140.6"/>
    <n v="141.5"/>
    <n v="122.9"/>
    <n v="149.4"/>
    <n v="142.4"/>
    <n v="130.19999999999999"/>
    <n v="117.9"/>
    <n v="135.6"/>
    <n v="130.5"/>
    <n v="151.69999999999999"/>
    <n v="138.69999999999999"/>
    <n v="153.30000000000001"/>
    <n v="148.69999999999999"/>
    <n v="142.4"/>
    <n v="147.80000000000001"/>
    <n v="139.12"/>
    <n v="142.4"/>
    <n v="139.9"/>
    <n v="136.19999999999999"/>
    <n v="123.3"/>
    <n v="134.30000000000001"/>
    <n v="141.5"/>
    <n v="128.80000000000001"/>
    <n v="132.5"/>
    <n v="138.5"/>
    <n v="202.32214285714281"/>
    <x v="62"/>
  </r>
  <r>
    <n v="185"/>
    <x v="1"/>
    <x v="5"/>
    <x v="1"/>
    <x v="184"/>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n v="195.27142857142854"/>
    <x v="62"/>
  </r>
  <r>
    <n v="186"/>
    <x v="2"/>
    <x v="5"/>
    <x v="1"/>
    <x v="185"/>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n v="199.37142857142859"/>
    <x v="62"/>
  </r>
  <r>
    <n v="187"/>
    <x v="0"/>
    <x v="5"/>
    <x v="2"/>
    <x v="186"/>
    <n v="136.80000000000001"/>
    <n v="143.80000000000001"/>
    <n v="140"/>
    <n v="142"/>
    <n v="123.2"/>
    <n v="152.9"/>
    <n v="138"/>
    <n v="129.30000000000001"/>
    <n v="117.1"/>
    <n v="136.30000000000001"/>
    <n v="131.19999999999999"/>
    <n v="152.80000000000001"/>
    <n v="138.6"/>
    <n v="155.1"/>
    <n v="149.19999999999999"/>
    <n v="143"/>
    <n v="148.30000000000001"/>
    <n v="139.12"/>
    <n v="142.6"/>
    <n v="139.9"/>
    <n v="136.69999999999999"/>
    <n v="124.6"/>
    <n v="135.1"/>
    <n v="142.69999999999999"/>
    <n v="129.30000000000001"/>
    <n v="133.30000000000001"/>
    <n v="138.69999999999999"/>
    <n v="202.74"/>
    <x v="63"/>
  </r>
  <r>
    <n v="188"/>
    <x v="1"/>
    <x v="5"/>
    <x v="2"/>
    <x v="187"/>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n v="194.60357142857143"/>
    <x v="63"/>
  </r>
  <r>
    <n v="189"/>
    <x v="2"/>
    <x v="5"/>
    <x v="2"/>
    <x v="188"/>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n v="199.3857142857143"/>
    <x v="63"/>
  </r>
  <r>
    <n v="190"/>
    <x v="0"/>
    <x v="5"/>
    <x v="3"/>
    <x v="189"/>
    <n v="137.1"/>
    <n v="144.5"/>
    <n v="135.9"/>
    <n v="142.4"/>
    <n v="123.5"/>
    <n v="156.4"/>
    <n v="135.1"/>
    <n v="128.4"/>
    <n v="115.2"/>
    <n v="137.19999999999999"/>
    <n v="131.9"/>
    <n v="153.80000000000001"/>
    <n v="138.6"/>
    <n v="156.1"/>
    <n v="150.1"/>
    <n v="143.30000000000001"/>
    <n v="149.1"/>
    <n v="139.12"/>
    <n v="143.80000000000001"/>
    <n v="140.9"/>
    <n v="137.6"/>
    <n v="125.3"/>
    <n v="136"/>
    <n v="143.69999999999999"/>
    <n v="130.4"/>
    <n v="134.19999999999999"/>
    <n v="139.1"/>
    <n v="203.02928571428569"/>
    <x v="64"/>
  </r>
  <r>
    <n v="191"/>
    <x v="1"/>
    <x v="5"/>
    <x v="3"/>
    <x v="190"/>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n v="195.2571428571429"/>
    <x v="64"/>
  </r>
  <r>
    <n v="192"/>
    <x v="2"/>
    <x v="5"/>
    <x v="3"/>
    <x v="191"/>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n v="199.90714285714284"/>
    <x v="64"/>
  </r>
  <r>
    <n v="193"/>
    <x v="0"/>
    <x v="5"/>
    <x v="4"/>
    <x v="192"/>
    <n v="137.4"/>
    <n v="145.69999999999999"/>
    <n v="135.5"/>
    <n v="142.9"/>
    <n v="123.6"/>
    <n v="157.5"/>
    <n v="137.80000000000001"/>
    <n v="127.2"/>
    <n v="111.8"/>
    <n v="137.4"/>
    <n v="132.19999999999999"/>
    <n v="154.30000000000001"/>
    <n v="139.1"/>
    <n v="157"/>
    <n v="150.80000000000001"/>
    <n v="144.1"/>
    <n v="149.80000000000001"/>
    <n v="139.12"/>
    <n v="144.30000000000001"/>
    <n v="141.80000000000001"/>
    <n v="138.4"/>
    <n v="126.4"/>
    <n v="136.80000000000001"/>
    <n v="144.4"/>
    <n v="131.19999999999999"/>
    <n v="135.1"/>
    <n v="139.80000000000001"/>
    <n v="203.6007142857143"/>
    <x v="65"/>
  </r>
  <r>
    <n v="194"/>
    <x v="1"/>
    <x v="5"/>
    <x v="4"/>
    <x v="193"/>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n v="195.81785714285709"/>
    <x v="65"/>
  </r>
  <r>
    <n v="195"/>
    <x v="2"/>
    <x v="5"/>
    <x v="4"/>
    <x v="194"/>
    <n v="136.6"/>
    <n v="146.6"/>
    <n v="133.6"/>
    <n v="142.1"/>
    <n v="121"/>
    <n v="154.6"/>
    <n v="135.6"/>
    <n v="122.3"/>
    <n v="109.6"/>
    <n v="138.1"/>
    <n v="129.9"/>
    <n v="151.69999999999999"/>
    <n v="138.1"/>
    <n v="157.9"/>
    <n v="146"/>
    <n v="137.4"/>
    <n v="144.69999999999999"/>
    <n v="143.19999999999999"/>
    <n v="136.9"/>
    <n v="137.4"/>
    <n v="136"/>
    <n v="122.9"/>
    <n v="131.80000000000001"/>
    <n v="142.1"/>
    <n v="129.9"/>
    <n v="132.1"/>
    <n v="137.80000000000001"/>
    <n v="200.48571428571424"/>
    <x v="65"/>
  </r>
  <r>
    <n v="196"/>
    <x v="0"/>
    <x v="5"/>
    <x v="5"/>
    <x v="195"/>
    <n v="137.6"/>
    <n v="148.1"/>
    <n v="136.69999999999999"/>
    <n v="143.19999999999999"/>
    <n v="124"/>
    <n v="154.1"/>
    <n v="143.5"/>
    <n v="126"/>
    <n v="112.4"/>
    <n v="137.6"/>
    <n v="132.80000000000001"/>
    <n v="154.30000000000001"/>
    <n v="140"/>
    <n v="157.30000000000001"/>
    <n v="151.30000000000001"/>
    <n v="144.69999999999999"/>
    <n v="150.30000000000001"/>
    <n v="139.12"/>
    <n v="145.1"/>
    <n v="142.19999999999999"/>
    <n v="138.4"/>
    <n v="127.4"/>
    <n v="137.80000000000001"/>
    <n v="145.1"/>
    <n v="131.4"/>
    <n v="135.6"/>
    <n v="140.5"/>
    <n v="204.43285714285713"/>
    <x v="66"/>
  </r>
  <r>
    <n v="197"/>
    <x v="1"/>
    <x v="5"/>
    <x v="5"/>
    <x v="196"/>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n v="197.86785714285716"/>
    <x v="66"/>
  </r>
  <r>
    <n v="198"/>
    <x v="2"/>
    <x v="5"/>
    <x v="5"/>
    <x v="197"/>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n v="201.7678571428572"/>
    <x v="66"/>
  </r>
  <r>
    <n v="199"/>
    <x v="0"/>
    <x v="5"/>
    <x v="6"/>
    <x v="198"/>
    <n v="138.4"/>
    <n v="149.30000000000001"/>
    <n v="139.30000000000001"/>
    <n v="143.4"/>
    <n v="124.1"/>
    <n v="153.30000000000001"/>
    <n v="154.19999999999999"/>
    <n v="126.4"/>
    <n v="114.3"/>
    <n v="138.19999999999999"/>
    <n v="132.80000000000001"/>
    <n v="154.80000000000001"/>
    <n v="142"/>
    <n v="156.1"/>
    <n v="151.5"/>
    <n v="145.1"/>
    <n v="150.6"/>
    <n v="139.12"/>
    <n v="146.80000000000001"/>
    <n v="143.1"/>
    <n v="139"/>
    <n v="127.5"/>
    <n v="138.4"/>
    <n v="145.80000000000001"/>
    <n v="131.4"/>
    <n v="136"/>
    <n v="141.80000000000001"/>
    <n v="206.04714285714292"/>
    <x v="67"/>
  </r>
  <r>
    <n v="200"/>
    <x v="1"/>
    <x v="5"/>
    <x v="6"/>
    <x v="199"/>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n v="199.97500000000005"/>
    <x v="67"/>
  </r>
  <r>
    <n v="201"/>
    <x v="2"/>
    <x v="5"/>
    <x v="6"/>
    <x v="200"/>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n v="203.56428571428577"/>
    <x v="67"/>
  </r>
  <r>
    <n v="202"/>
    <x v="0"/>
    <x v="5"/>
    <x v="7"/>
    <x v="201"/>
    <n v="139.19999999999999"/>
    <n v="148.80000000000001"/>
    <n v="139.1"/>
    <n v="143.5"/>
    <n v="125"/>
    <n v="154.4"/>
    <n v="156.30000000000001"/>
    <n v="126.8"/>
    <n v="115.4"/>
    <n v="138.6"/>
    <n v="133.80000000000001"/>
    <n v="155.19999999999999"/>
    <n v="142.69999999999999"/>
    <n v="156.4"/>
    <n v="152.1"/>
    <n v="145.80000000000001"/>
    <n v="151.30000000000001"/>
    <n v="139.12"/>
    <n v="147.69999999999999"/>
    <n v="143.80000000000001"/>
    <n v="139.4"/>
    <n v="128.30000000000001"/>
    <n v="138.6"/>
    <n v="146.9"/>
    <n v="131.30000000000001"/>
    <n v="136.6"/>
    <n v="142.5"/>
    <n v="206.92214285714292"/>
    <x v="68"/>
  </r>
  <r>
    <n v="203"/>
    <x v="1"/>
    <x v="5"/>
    <x v="7"/>
    <x v="202"/>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n v="200.125"/>
    <x v="68"/>
  </r>
  <r>
    <n v="204"/>
    <x v="2"/>
    <x v="5"/>
    <x v="7"/>
    <x v="203"/>
    <n v="138.30000000000001"/>
    <n v="148"/>
    <n v="138.1"/>
    <n v="142.6"/>
    <n v="122.2"/>
    <n v="150.6"/>
    <n v="156.6"/>
    <n v="122.4"/>
    <n v="114.7"/>
    <n v="139.4"/>
    <n v="131.1"/>
    <n v="153"/>
    <n v="141.69999999999999"/>
    <n v="157.9"/>
    <n v="147.30000000000001"/>
    <n v="138.80000000000001"/>
    <n v="146.1"/>
    <n v="144.6"/>
    <n v="140.9"/>
    <n v="139.4"/>
    <n v="137.69999999999999"/>
    <n v="124.3"/>
    <n v="133.6"/>
    <n v="146"/>
    <n v="130.1"/>
    <n v="133.9"/>
    <n v="140.4"/>
    <n v="204.15357142857144"/>
    <x v="68"/>
  </r>
  <r>
    <n v="205"/>
    <x v="0"/>
    <x v="5"/>
    <x v="8"/>
    <x v="204"/>
    <n v="139.4"/>
    <n v="147.19999999999999"/>
    <n v="136.6"/>
    <n v="143.69999999999999"/>
    <n v="124.6"/>
    <n v="150.1"/>
    <n v="149.4"/>
    <n v="125.4"/>
    <n v="114.4"/>
    <n v="138.69999999999999"/>
    <n v="133.1"/>
    <n v="155.9"/>
    <n v="141.30000000000001"/>
    <n v="157.69999999999999"/>
    <n v="152.1"/>
    <n v="146.1"/>
    <n v="151.30000000000001"/>
    <n v="139.12"/>
    <n v="149"/>
    <n v="144"/>
    <n v="140"/>
    <n v="129.9"/>
    <n v="140"/>
    <n v="147.6"/>
    <n v="132"/>
    <n v="137.4"/>
    <n v="142.1"/>
    <n v="205.91499999999999"/>
    <x v="69"/>
  </r>
  <r>
    <n v="206"/>
    <x v="1"/>
    <x v="5"/>
    <x v="8"/>
    <x v="205"/>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n v="199.17500000000001"/>
    <x v="69"/>
  </r>
  <r>
    <n v="207"/>
    <x v="2"/>
    <x v="5"/>
    <x v="8"/>
    <x v="206"/>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n v="203.17499999999998"/>
    <x v="69"/>
  </r>
  <r>
    <n v="208"/>
    <x v="0"/>
    <x v="5"/>
    <x v="9"/>
    <x v="207"/>
    <n v="139.30000000000001"/>
    <n v="147.6"/>
    <n v="134.6"/>
    <n v="141.9"/>
    <n v="123.5"/>
    <n v="144.5"/>
    <n v="147.6"/>
    <n v="121.4"/>
    <n v="112.3"/>
    <n v="139.5"/>
    <n v="134.6"/>
    <n v="155.19999999999999"/>
    <n v="140.19999999999999"/>
    <n v="159.6"/>
    <n v="150.69999999999999"/>
    <n v="144.5"/>
    <n v="149.80000000000001"/>
    <n v="139.12"/>
    <n v="149.69999999999999"/>
    <n v="147.5"/>
    <n v="144.80000000000001"/>
    <n v="130.80000000000001"/>
    <n v="140.1"/>
    <n v="148"/>
    <n v="134.4"/>
    <n v="139.80000000000001"/>
    <n v="142.19999999999999"/>
    <n v="205.1792857142857"/>
    <x v="70"/>
  </r>
  <r>
    <n v="209"/>
    <x v="1"/>
    <x v="5"/>
    <x v="9"/>
    <x v="208"/>
    <n v="137.6"/>
    <n v="144.9"/>
    <n v="133.5"/>
    <n v="141.5"/>
    <n v="118"/>
    <n v="139.5"/>
    <n v="153"/>
    <n v="113.2"/>
    <n v="112.8"/>
    <n v="141.1"/>
    <n v="127.6"/>
    <n v="152"/>
    <n v="139.4"/>
    <n v="164"/>
    <n v="141.5"/>
    <n v="129.80000000000001"/>
    <n v="139.69999999999999"/>
    <n v="146.30000000000001"/>
    <n v="133.4"/>
    <n v="135.1"/>
    <n v="136.19999999999999"/>
    <n v="123.3"/>
    <n v="130.69999999999999"/>
    <n v="145.5"/>
    <n v="130.4"/>
    <n v="132.5"/>
    <n v="138.9"/>
    <n v="199.98214285714283"/>
    <x v="70"/>
  </r>
  <r>
    <n v="210"/>
    <x v="2"/>
    <x v="5"/>
    <x v="9"/>
    <x v="20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n v="203.82142857142858"/>
    <x v="70"/>
  </r>
  <r>
    <n v="211"/>
    <x v="0"/>
    <x v="5"/>
    <x v="11"/>
    <x v="210"/>
    <n v="137.1"/>
    <n v="150.80000000000001"/>
    <n v="136.69999999999999"/>
    <n v="141.9"/>
    <n v="122.8"/>
    <n v="143.9"/>
    <n v="147.5"/>
    <n v="121"/>
    <n v="111.6"/>
    <n v="140.6"/>
    <n v="137.5"/>
    <n v="156.1"/>
    <n v="140"/>
    <n v="161.9"/>
    <n v="151.69999999999999"/>
    <n v="145.5"/>
    <n v="150.80000000000001"/>
    <n v="139.12"/>
    <n v="150.30000000000001"/>
    <n v="148"/>
    <n v="145.4"/>
    <n v="130.30000000000001"/>
    <n v="143.1"/>
    <n v="150.19999999999999"/>
    <n v="133.1"/>
    <n v="140.1"/>
    <n v="142.4"/>
    <n v="206.02928571428575"/>
    <x v="71"/>
  </r>
  <r>
    <n v="212"/>
    <x v="1"/>
    <x v="5"/>
    <x v="11"/>
    <x v="211"/>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n v="200.47857142857146"/>
    <x v="71"/>
  </r>
  <r>
    <n v="213"/>
    <x v="2"/>
    <x v="5"/>
    <x v="11"/>
    <x v="212"/>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n v="203.77142857142857"/>
    <x v="71"/>
  </r>
  <r>
    <n v="214"/>
    <x v="0"/>
    <x v="5"/>
    <x v="12"/>
    <x v="213"/>
    <n v="137.1"/>
    <n v="151.9"/>
    <n v="137.4"/>
    <n v="142.4"/>
    <n v="124.2"/>
    <n v="140.19999999999999"/>
    <n v="136.6"/>
    <n v="120.9"/>
    <n v="109.9"/>
    <n v="140.19999999999999"/>
    <n v="137.80000000000001"/>
    <n v="156"/>
    <n v="138.5"/>
    <n v="162.4"/>
    <n v="151.6"/>
    <n v="145.9"/>
    <n v="150.80000000000001"/>
    <n v="139.12"/>
    <n v="149"/>
    <n v="149.5"/>
    <n v="149.6"/>
    <n v="128.9"/>
    <n v="143.30000000000001"/>
    <n v="155.1"/>
    <n v="133.19999999999999"/>
    <n v="141.6"/>
    <n v="141.9"/>
    <n v="205.37571428571431"/>
    <x v="72"/>
  </r>
  <r>
    <n v="215"/>
    <x v="1"/>
    <x v="5"/>
    <x v="12"/>
    <x v="214"/>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n v="199.50357142857141"/>
    <x v="72"/>
  </r>
  <r>
    <n v="216"/>
    <x v="2"/>
    <x v="5"/>
    <x v="12"/>
    <x v="215"/>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n v="202.95714285714286"/>
    <x v="72"/>
  </r>
  <r>
    <n v="217"/>
    <x v="0"/>
    <x v="6"/>
    <x v="0"/>
    <x v="216"/>
    <n v="136.6"/>
    <n v="152.5"/>
    <n v="138.19999999999999"/>
    <n v="142.4"/>
    <n v="123.9"/>
    <n v="135.5"/>
    <n v="131.69999999999999"/>
    <n v="121.3"/>
    <n v="108.4"/>
    <n v="138.9"/>
    <n v="137"/>
    <n v="155.80000000000001"/>
    <n v="137.4"/>
    <n v="162.69999999999999"/>
    <n v="150.6"/>
    <n v="145.1"/>
    <n v="149.9"/>
    <n v="139.12"/>
    <n v="146.19999999999999"/>
    <n v="150.1"/>
    <n v="149.6"/>
    <n v="128.6"/>
    <n v="142.9"/>
    <n v="155.19999999999999"/>
    <n v="133.5"/>
    <n v="141.69999999999999"/>
    <n v="141"/>
    <n v="204.21857142857144"/>
    <x v="73"/>
  </r>
  <r>
    <n v="218"/>
    <x v="1"/>
    <x v="6"/>
    <x v="0"/>
    <x v="217"/>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n v="199.33928571428575"/>
    <x v="73"/>
  </r>
  <r>
    <n v="219"/>
    <x v="2"/>
    <x v="6"/>
    <x v="0"/>
    <x v="218"/>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n v="202.20000000000002"/>
    <x v="73"/>
  </r>
  <r>
    <n v="220"/>
    <x v="0"/>
    <x v="6"/>
    <x v="1"/>
    <x v="219"/>
    <n v="136.80000000000001"/>
    <n v="153"/>
    <n v="139.1"/>
    <n v="142.5"/>
    <n v="124.1"/>
    <n v="135.80000000000001"/>
    <n v="128.69999999999999"/>
    <n v="121.5"/>
    <n v="108.3"/>
    <n v="139.19999999999999"/>
    <n v="137.4"/>
    <n v="156.19999999999999"/>
    <n v="137.19999999999999"/>
    <n v="162.80000000000001"/>
    <n v="150.5"/>
    <n v="146.1"/>
    <n v="149.9"/>
    <n v="139.12"/>
    <n v="145.30000000000001"/>
    <n v="150.1"/>
    <n v="149.9"/>
    <n v="129.19999999999999"/>
    <n v="143.4"/>
    <n v="155.5"/>
    <n v="134.9"/>
    <n v="142.19999999999999"/>
    <n v="141"/>
    <n v="204.36857142857139"/>
    <x v="74"/>
  </r>
  <r>
    <n v="221"/>
    <x v="1"/>
    <x v="6"/>
    <x v="1"/>
    <x v="220"/>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n v="200.24285714285719"/>
    <x v="74"/>
  </r>
  <r>
    <n v="222"/>
    <x v="2"/>
    <x v="6"/>
    <x v="1"/>
    <x v="221"/>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n v="202.63571428571427"/>
    <x v="74"/>
  </r>
  <r>
    <n v="223"/>
    <x v="0"/>
    <x v="6"/>
    <x v="2"/>
    <x v="222"/>
    <n v="136.9"/>
    <n v="154.1"/>
    <n v="138.69999999999999"/>
    <n v="142.5"/>
    <n v="124.1"/>
    <n v="136.1"/>
    <n v="128.19999999999999"/>
    <n v="122.3"/>
    <n v="108.3"/>
    <n v="138.9"/>
    <n v="137.4"/>
    <n v="156.4"/>
    <n v="137.30000000000001"/>
    <n v="162.9"/>
    <n v="150.80000000000001"/>
    <n v="146.1"/>
    <n v="150.1"/>
    <n v="139.12"/>
    <n v="146.4"/>
    <n v="150"/>
    <n v="150.4"/>
    <n v="129.9"/>
    <n v="143.80000000000001"/>
    <n v="155.5"/>
    <n v="134"/>
    <n v="142.4"/>
    <n v="141.19999999999999"/>
    <n v="204.56857142857143"/>
    <x v="75"/>
  </r>
  <r>
    <n v="224"/>
    <x v="1"/>
    <x v="6"/>
    <x v="2"/>
    <x v="223"/>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n v="201.49642857142859"/>
    <x v="75"/>
  </r>
  <r>
    <n v="225"/>
    <x v="2"/>
    <x v="6"/>
    <x v="2"/>
    <x v="224"/>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n v="203.21785714285713"/>
    <x v="75"/>
  </r>
  <r>
    <n v="226"/>
    <x v="0"/>
    <x v="6"/>
    <x v="4"/>
    <x v="225"/>
    <n v="137.4"/>
    <n v="159.5"/>
    <n v="134.5"/>
    <n v="142.6"/>
    <n v="124"/>
    <n v="143.69999999999999"/>
    <n v="133.4"/>
    <n v="125.1"/>
    <n v="109.3"/>
    <n v="139.30000000000001"/>
    <n v="137.69999999999999"/>
    <n v="156.4"/>
    <n v="139.19999999999999"/>
    <n v="163.30000000000001"/>
    <n v="151.30000000000001"/>
    <n v="146.6"/>
    <n v="150.69999999999999"/>
    <n v="139.12"/>
    <n v="146.9"/>
    <n v="149.5"/>
    <n v="151.30000000000001"/>
    <n v="130.19999999999999"/>
    <n v="145.9"/>
    <n v="156.69999999999999"/>
    <n v="133.9"/>
    <n v="142.9"/>
    <n v="142.4"/>
    <n v="206.36499999999995"/>
    <x v="76"/>
  </r>
  <r>
    <n v="227"/>
    <x v="1"/>
    <x v="6"/>
    <x v="4"/>
    <x v="226"/>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n v="204.97499999999999"/>
    <x v="76"/>
  </r>
  <r>
    <n v="228"/>
    <x v="2"/>
    <x v="6"/>
    <x v="4"/>
    <x v="227"/>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n v="205.65714285714284"/>
    <x v="76"/>
  </r>
  <r>
    <n v="229"/>
    <x v="0"/>
    <x v="6"/>
    <x v="5"/>
    <x v="228"/>
    <n v="137.80000000000001"/>
    <n v="163.5"/>
    <n v="136.19999999999999"/>
    <n v="143.19999999999999"/>
    <n v="124.3"/>
    <n v="143.30000000000001"/>
    <n v="140.6"/>
    <n v="128.69999999999999"/>
    <n v="110.6"/>
    <n v="140.4"/>
    <n v="138"/>
    <n v="156.6"/>
    <n v="141"/>
    <n v="164.2"/>
    <n v="151.4"/>
    <n v="146.5"/>
    <n v="150.69999999999999"/>
    <n v="139.12"/>
    <n v="147.80000000000001"/>
    <n v="149.6"/>
    <n v="151.69999999999999"/>
    <n v="130.19999999999999"/>
    <n v="146.4"/>
    <n v="157.69999999999999"/>
    <n v="134.80000000000001"/>
    <n v="143.30000000000001"/>
    <n v="143.6"/>
    <n v="208.20071428571424"/>
    <x v="77"/>
  </r>
  <r>
    <n v="230"/>
    <x v="1"/>
    <x v="6"/>
    <x v="5"/>
    <x v="229"/>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n v="206.72142857142856"/>
    <x v="77"/>
  </r>
  <r>
    <n v="231"/>
    <x v="2"/>
    <x v="6"/>
    <x v="5"/>
    <x v="230"/>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n v="207.45357142857142"/>
    <x v="77"/>
  </r>
  <r>
    <n v="232"/>
    <x v="0"/>
    <x v="6"/>
    <x v="6"/>
    <x v="231"/>
    <n v="138.4"/>
    <n v="164"/>
    <n v="138.4"/>
    <n v="143.9"/>
    <n v="124.4"/>
    <n v="146.4"/>
    <n v="150.1"/>
    <n v="130.6"/>
    <n v="110.8"/>
    <n v="141.69999999999999"/>
    <n v="138.5"/>
    <n v="156.69999999999999"/>
    <n v="143"/>
    <n v="164.5"/>
    <n v="151.6"/>
    <n v="146.6"/>
    <n v="150.9"/>
    <n v="139.12"/>
    <n v="146.80000000000001"/>
    <n v="150"/>
    <n v="152.19999999999999"/>
    <n v="131.19999999999999"/>
    <n v="147.5"/>
    <n v="159.1"/>
    <n v="136.1"/>
    <n v="144.19999999999999"/>
    <n v="144.9"/>
    <n v="210.10785714285711"/>
    <x v="78"/>
  </r>
  <r>
    <n v="233"/>
    <x v="1"/>
    <x v="6"/>
    <x v="6"/>
    <x v="232"/>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n v="208.69642857142858"/>
    <x v="78"/>
  </r>
  <r>
    <n v="234"/>
    <x v="2"/>
    <x v="6"/>
    <x v="6"/>
    <x v="233"/>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n v="209.42499999999998"/>
    <x v="78"/>
  </r>
  <r>
    <n v="235"/>
    <x v="0"/>
    <x v="6"/>
    <x v="7"/>
    <x v="234"/>
    <n v="139.19999999999999"/>
    <n v="161.9"/>
    <n v="137.1"/>
    <n v="144.6"/>
    <n v="124.7"/>
    <n v="145.5"/>
    <n v="156.19999999999999"/>
    <n v="131.5"/>
    <n v="111.7"/>
    <n v="142.69999999999999"/>
    <n v="138.5"/>
    <n v="156.9"/>
    <n v="144"/>
    <n v="165.1"/>
    <n v="151.80000000000001"/>
    <n v="146.6"/>
    <n v="151.1"/>
    <n v="139.12"/>
    <n v="146.4"/>
    <n v="150.19999999999999"/>
    <n v="152.69999999999999"/>
    <n v="131.4"/>
    <n v="148"/>
    <n v="159.69999999999999"/>
    <n v="138.80000000000001"/>
    <n v="144.9"/>
    <n v="145.69999999999999"/>
    <n v="210.91499999999994"/>
    <x v="79"/>
  </r>
  <r>
    <n v="236"/>
    <x v="1"/>
    <x v="6"/>
    <x v="7"/>
    <x v="235"/>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n v="209.85357142857146"/>
    <x v="79"/>
  </r>
  <r>
    <n v="237"/>
    <x v="2"/>
    <x v="6"/>
    <x v="7"/>
    <x v="236"/>
    <n v="140.1"/>
    <n v="160.6"/>
    <n v="138.5"/>
    <n v="144.69999999999999"/>
    <n v="122.9"/>
    <n v="149.4"/>
    <n v="167.4"/>
    <n v="130.9"/>
    <n v="112"/>
    <n v="142.6"/>
    <n v="134.9"/>
    <n v="156.6"/>
    <n v="145.9"/>
    <n v="165.8"/>
    <n v="149.1"/>
    <n v="140.6"/>
    <n v="147.9"/>
    <n v="151.6"/>
    <n v="138.5"/>
    <n v="144.5"/>
    <n v="148.5"/>
    <n v="125.8"/>
    <n v="140.9"/>
    <n v="154.9"/>
    <n v="138.4"/>
    <n v="140.19999999999999"/>
    <n v="145"/>
    <n v="210.375"/>
    <x v="79"/>
  </r>
  <r>
    <n v="238"/>
    <x v="0"/>
    <x v="6"/>
    <x v="8"/>
    <x v="237"/>
    <n v="140.1"/>
    <n v="161.9"/>
    <n v="138.30000000000001"/>
    <n v="145.69999999999999"/>
    <n v="125.1"/>
    <n v="143.80000000000001"/>
    <n v="163.4"/>
    <n v="132.19999999999999"/>
    <n v="112.8"/>
    <n v="144.19999999999999"/>
    <n v="138.5"/>
    <n v="157.19999999999999"/>
    <n v="145.5"/>
    <n v="165.7"/>
    <n v="151.69999999999999"/>
    <n v="146.6"/>
    <n v="151"/>
    <n v="139.12"/>
    <n v="146.9"/>
    <n v="150.30000000000001"/>
    <n v="153.4"/>
    <n v="131.6"/>
    <n v="148.30000000000001"/>
    <n v="160.19999999999999"/>
    <n v="140.19999999999999"/>
    <n v="145.4"/>
    <n v="146.69999999999999"/>
    <n v="212.15071428571426"/>
    <x v="80"/>
  </r>
  <r>
    <n v="239"/>
    <x v="1"/>
    <x v="6"/>
    <x v="8"/>
    <x v="238"/>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n v="210.53214285714284"/>
    <x v="80"/>
  </r>
  <r>
    <n v="240"/>
    <x v="2"/>
    <x v="6"/>
    <x v="8"/>
    <x v="239"/>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n v="211.42499999999998"/>
    <x v="80"/>
  </r>
  <r>
    <n v="241"/>
    <x v="0"/>
    <x v="6"/>
    <x v="9"/>
    <x v="240"/>
    <n v="141"/>
    <n v="161.6"/>
    <n v="141.19999999999999"/>
    <n v="146.5"/>
    <n v="125.6"/>
    <n v="145.69999999999999"/>
    <n v="178.8"/>
    <n v="133.1"/>
    <n v="113.6"/>
    <n v="145.5"/>
    <n v="138.6"/>
    <n v="157.4"/>
    <n v="148.30000000000001"/>
    <n v="166.3"/>
    <n v="151.69999999999999"/>
    <n v="146.69999999999999"/>
    <n v="151"/>
    <n v="139.12"/>
    <n v="147.69999999999999"/>
    <n v="150.6"/>
    <n v="153.69999999999999"/>
    <n v="131.69999999999999"/>
    <n v="148.69999999999999"/>
    <n v="160.69999999999999"/>
    <n v="140.30000000000001"/>
    <n v="145.69999999999999"/>
    <n v="148.30000000000001"/>
    <n v="214.36857142857139"/>
    <x v="81"/>
  </r>
  <r>
    <n v="242"/>
    <x v="1"/>
    <x v="6"/>
    <x v="9"/>
    <x v="241"/>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n v="212.85357142857131"/>
    <x v="81"/>
  </r>
  <r>
    <n v="243"/>
    <x v="2"/>
    <x v="6"/>
    <x v="9"/>
    <x v="242"/>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n v="213.69285714285709"/>
    <x v="81"/>
  </r>
  <r>
    <n v="244"/>
    <x v="0"/>
    <x v="6"/>
    <x v="11"/>
    <x v="243"/>
    <n v="141.80000000000001"/>
    <n v="163.69999999999999"/>
    <n v="143.80000000000001"/>
    <n v="147.1"/>
    <n v="126"/>
    <n v="146.19999999999999"/>
    <n v="191.4"/>
    <n v="136.19999999999999"/>
    <n v="113.8"/>
    <n v="147.30000000000001"/>
    <n v="138.69999999999999"/>
    <n v="157.69999999999999"/>
    <n v="150.9"/>
    <n v="167.2"/>
    <n v="152.30000000000001"/>
    <n v="147"/>
    <n v="151.5"/>
    <n v="139.12"/>
    <n v="148.4"/>
    <n v="150.9"/>
    <n v="154.30000000000001"/>
    <n v="132.1"/>
    <n v="149.1"/>
    <n v="160.80000000000001"/>
    <n v="140.6"/>
    <n v="146.1"/>
    <n v="149.9"/>
    <n v="216.63285714285718"/>
    <x v="82"/>
  </r>
  <r>
    <n v="245"/>
    <x v="1"/>
    <x v="6"/>
    <x v="11"/>
    <x v="244"/>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n v="214.70714285714286"/>
    <x v="82"/>
  </r>
  <r>
    <n v="246"/>
    <x v="2"/>
    <x v="6"/>
    <x v="11"/>
    <x v="245"/>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n v="215.80357142857147"/>
    <x v="82"/>
  </r>
  <r>
    <n v="247"/>
    <x v="0"/>
    <x v="6"/>
    <x v="12"/>
    <x v="246"/>
    <n v="142.80000000000001"/>
    <n v="165.3"/>
    <n v="149.5"/>
    <n v="148.69999999999999"/>
    <n v="127.5"/>
    <n v="144.30000000000001"/>
    <n v="209.5"/>
    <n v="138.80000000000001"/>
    <n v="113.6"/>
    <n v="149.1"/>
    <n v="139.30000000000001"/>
    <n v="158.30000000000001"/>
    <n v="154.30000000000001"/>
    <n v="167.8"/>
    <n v="152.6"/>
    <n v="147.30000000000001"/>
    <n v="151.9"/>
    <n v="139.12"/>
    <n v="149.9"/>
    <n v="151.19999999999999"/>
    <n v="154.80000000000001"/>
    <n v="135"/>
    <n v="149.5"/>
    <n v="161.1"/>
    <n v="140.6"/>
    <n v="147.1"/>
    <n v="152.30000000000001"/>
    <n v="219.64357142857148"/>
    <x v="83"/>
  </r>
  <r>
    <n v="248"/>
    <x v="1"/>
    <x v="6"/>
    <x v="12"/>
    <x v="247"/>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n v="217.42499999999998"/>
    <x v="83"/>
  </r>
  <r>
    <n v="249"/>
    <x v="2"/>
    <x v="6"/>
    <x v="12"/>
    <x v="248"/>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n v="218.70000000000002"/>
    <x v="83"/>
  </r>
  <r>
    <n v="250"/>
    <x v="0"/>
    <x v="7"/>
    <x v="0"/>
    <x v="249"/>
    <n v="143.69999999999999"/>
    <n v="167.3"/>
    <n v="153.5"/>
    <n v="150.5"/>
    <n v="132"/>
    <n v="142.19999999999999"/>
    <n v="191.5"/>
    <n v="141.1"/>
    <n v="113.8"/>
    <n v="151.6"/>
    <n v="139.69999999999999"/>
    <n v="158.69999999999999"/>
    <n v="153"/>
    <n v="168.6"/>
    <n v="152.80000000000001"/>
    <n v="147.4"/>
    <n v="152.1"/>
    <n v="139.12"/>
    <n v="150.4"/>
    <n v="151.69999999999999"/>
    <n v="155.69999999999999"/>
    <n v="136.30000000000001"/>
    <n v="150.1"/>
    <n v="161.69999999999999"/>
    <n v="142.5"/>
    <n v="148.1"/>
    <n v="151.9"/>
    <n v="219.7935714285714"/>
    <x v="84"/>
  </r>
  <r>
    <n v="251"/>
    <x v="1"/>
    <x v="7"/>
    <x v="0"/>
    <x v="250"/>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n v="216.94642857142861"/>
    <x v="84"/>
  </r>
  <r>
    <n v="252"/>
    <x v="2"/>
    <x v="7"/>
    <x v="0"/>
    <x v="251"/>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n v="218.64285714285711"/>
    <x v="84"/>
  </r>
  <r>
    <n v="253"/>
    <x v="0"/>
    <x v="7"/>
    <x v="1"/>
    <x v="252"/>
    <n v="144.19999999999999"/>
    <n v="167.5"/>
    <n v="150.9"/>
    <n v="150.9"/>
    <n v="133.69999999999999"/>
    <n v="140.69999999999999"/>
    <n v="165.1"/>
    <n v="141.80000000000001"/>
    <n v="113.1"/>
    <n v="152.80000000000001"/>
    <n v="140.1"/>
    <n v="159.19999999999999"/>
    <n v="149.80000000000001"/>
    <n v="169.4"/>
    <n v="153"/>
    <n v="147.5"/>
    <n v="152.30000000000001"/>
    <n v="139.12"/>
    <n v="152.30000000000001"/>
    <n v="151.80000000000001"/>
    <n v="156.19999999999999"/>
    <n v="136"/>
    <n v="150.4"/>
    <n v="161.9"/>
    <n v="143.4"/>
    <n v="148.4"/>
    <n v="150.4"/>
    <n v="217.8971428571428"/>
    <x v="85"/>
  </r>
  <r>
    <n v="254"/>
    <x v="1"/>
    <x v="7"/>
    <x v="1"/>
    <x v="253"/>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n v="215.22857142857131"/>
    <x v="85"/>
  </r>
  <r>
    <n v="255"/>
    <x v="2"/>
    <x v="7"/>
    <x v="1"/>
    <x v="254"/>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n v="216.83214285714286"/>
    <x v="85"/>
  </r>
  <r>
    <n v="256"/>
    <x v="0"/>
    <x v="7"/>
    <x v="2"/>
    <x v="255"/>
    <n v="144.4"/>
    <n v="166.8"/>
    <n v="147.6"/>
    <n v="151.69999999999999"/>
    <n v="133.30000000000001"/>
    <n v="141.80000000000001"/>
    <n v="152.30000000000001"/>
    <n v="141.80000000000001"/>
    <n v="112.6"/>
    <n v="154"/>
    <n v="140.1"/>
    <n v="160"/>
    <n v="148.19999999999999"/>
    <n v="170.5"/>
    <n v="153.4"/>
    <n v="147.6"/>
    <n v="152.5"/>
    <n v="139.12"/>
    <n v="153.4"/>
    <n v="151.5"/>
    <n v="156.69999999999999"/>
    <n v="135.80000000000001"/>
    <n v="151.19999999999999"/>
    <n v="161.19999999999999"/>
    <n v="145.1"/>
    <n v="148.6"/>
    <n v="149.80000000000001"/>
    <n v="217.00428571428571"/>
    <x v="86"/>
  </r>
  <r>
    <n v="257"/>
    <x v="1"/>
    <x v="7"/>
    <x v="2"/>
    <x v="243"/>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n v="214.23928571428573"/>
    <x v="86"/>
  </r>
  <r>
    <n v="258"/>
    <x v="2"/>
    <x v="7"/>
    <x v="2"/>
    <x v="256"/>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n v="215.91071428571422"/>
    <x v="86"/>
  </r>
  <r>
    <n v="259"/>
    <x v="0"/>
    <x v="7"/>
    <x v="5"/>
    <x v="257"/>
    <n v="148.19999999999999"/>
    <n v="190.3"/>
    <n v="149.4"/>
    <n v="153.30000000000001"/>
    <n v="138.19999999999999"/>
    <n v="143.19999999999999"/>
    <n v="148.9"/>
    <n v="150.30000000000001"/>
    <n v="113.2"/>
    <n v="159.80000000000001"/>
    <n v="142.1"/>
    <n v="161.80000000000001"/>
    <n v="152.30000000000001"/>
    <n v="182.4"/>
    <n v="154.69999999999999"/>
    <n v="150"/>
    <n v="154.1"/>
    <n v="139.12"/>
    <n v="144.9"/>
    <n v="151.69999999999999"/>
    <n v="158.19999999999999"/>
    <n v="141.4"/>
    <n v="153.19999999999999"/>
    <n v="161.80000000000001"/>
    <n v="151.19999999999999"/>
    <n v="151.69999999999999"/>
    <n v="152.69999999999999"/>
    <n v="222.55428571428567"/>
    <x v="87"/>
  </r>
  <r>
    <n v="260"/>
    <x v="1"/>
    <x v="7"/>
    <x v="5"/>
    <x v="258"/>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n v="223.13928571428573"/>
    <x v="87"/>
  </r>
  <r>
    <n v="261"/>
    <x v="2"/>
    <x v="7"/>
    <x v="5"/>
    <x v="259"/>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n v="222.72857142857137"/>
    <x v="87"/>
  </r>
  <r>
    <n v="262"/>
    <x v="0"/>
    <x v="7"/>
    <x v="6"/>
    <x v="257"/>
    <n v="148.19999999999999"/>
    <n v="190.3"/>
    <n v="149.4"/>
    <n v="153.30000000000001"/>
    <n v="138.19999999999999"/>
    <n v="143.19999999999999"/>
    <n v="148.9"/>
    <n v="150.30000000000001"/>
    <n v="113.2"/>
    <n v="159.80000000000001"/>
    <n v="142.1"/>
    <n v="161.80000000000001"/>
    <n v="152.30000000000001"/>
    <n v="182.4"/>
    <n v="154.69999999999999"/>
    <n v="150"/>
    <n v="154.1"/>
    <n v="139.12"/>
    <n v="144.9"/>
    <n v="151.69999999999999"/>
    <n v="158.19999999999999"/>
    <n v="141.4"/>
    <n v="153.19999999999999"/>
    <n v="161.80000000000001"/>
    <n v="151.19999999999999"/>
    <n v="151.69999999999999"/>
    <n v="152.69999999999999"/>
    <n v="222.55428571428567"/>
    <x v="88"/>
  </r>
  <r>
    <n v="263"/>
    <x v="1"/>
    <x v="7"/>
    <x v="6"/>
    <x v="258"/>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n v="223.13928571428573"/>
    <x v="88"/>
  </r>
  <r>
    <n v="264"/>
    <x v="2"/>
    <x v="7"/>
    <x v="6"/>
    <x v="259"/>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n v="222.72857142857137"/>
    <x v="88"/>
  </r>
  <r>
    <n v="265"/>
    <x v="0"/>
    <x v="7"/>
    <x v="7"/>
    <x v="260"/>
    <n v="147.6"/>
    <n v="187.2"/>
    <n v="148.4"/>
    <n v="153.30000000000001"/>
    <n v="139.80000000000001"/>
    <n v="146.9"/>
    <n v="171"/>
    <n v="149.9"/>
    <n v="114.2"/>
    <n v="160"/>
    <n v="143.5"/>
    <n v="161.5"/>
    <n v="155.30000000000001"/>
    <n v="180.9"/>
    <n v="155.1"/>
    <n v="149.30000000000001"/>
    <n v="154.30000000000001"/>
    <n v="139.12"/>
    <n v="145.80000000000001"/>
    <n v="151.9"/>
    <n v="158.80000000000001"/>
    <n v="143.6"/>
    <n v="152.19999999999999"/>
    <n v="162.69999999999999"/>
    <n v="153.6"/>
    <n v="153"/>
    <n v="154.69999999999999"/>
    <n v="224.75428571428574"/>
    <x v="89"/>
  </r>
  <r>
    <n v="266"/>
    <x v="1"/>
    <x v="7"/>
    <x v="7"/>
    <x v="261"/>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n v="225.9892857142857"/>
    <x v="89"/>
  </r>
  <r>
    <n v="267"/>
    <x v="2"/>
    <x v="7"/>
    <x v="7"/>
    <x v="262"/>
    <n v="148.9"/>
    <n v="190.9"/>
    <n v="150.80000000000001"/>
    <n v="153.30000000000001"/>
    <n v="137.4"/>
    <n v="150.4"/>
    <n v="178.1"/>
    <n v="150.4"/>
    <n v="115.1"/>
    <n v="160"/>
    <n v="140.6"/>
    <n v="162.30000000000001"/>
    <n v="157"/>
    <n v="182.6"/>
    <n v="153.1"/>
    <n v="143.4"/>
    <n v="151.69999999999999"/>
    <n v="155.5"/>
    <n v="143"/>
    <n v="148.4"/>
    <n v="155"/>
    <n v="138.5"/>
    <n v="146"/>
    <n v="158.5"/>
    <n v="154.30000000000001"/>
    <n v="149"/>
    <n v="153.9"/>
    <n v="225.21071428571426"/>
    <x v="89"/>
  </r>
  <r>
    <n v="268"/>
    <x v="0"/>
    <x v="7"/>
    <x v="8"/>
    <x v="263"/>
    <n v="146.9"/>
    <n v="183.9"/>
    <n v="149.5"/>
    <n v="153.4"/>
    <n v="140.4"/>
    <n v="147"/>
    <n v="178.8"/>
    <n v="149.30000000000001"/>
    <n v="115.1"/>
    <n v="160"/>
    <n v="145.4"/>
    <n v="161.6"/>
    <n v="156.1"/>
    <n v="182.9"/>
    <n v="155.4"/>
    <n v="149.9"/>
    <n v="154.6"/>
    <n v="139.12"/>
    <n v="146.4"/>
    <n v="151.6"/>
    <n v="159.1"/>
    <n v="144.6"/>
    <n v="152.80000000000001"/>
    <n v="161.1"/>
    <n v="157.4"/>
    <n v="153.69999999999999"/>
    <n v="155.4"/>
    <n v="225.77571428571429"/>
    <x v="90"/>
  </r>
  <r>
    <n v="269"/>
    <x v="1"/>
    <x v="7"/>
    <x v="8"/>
    <x v="264"/>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n v="227.70357142857145"/>
    <x v="90"/>
  </r>
  <r>
    <n v="270"/>
    <x v="2"/>
    <x v="7"/>
    <x v="8"/>
    <x v="265"/>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n v="226.52857142857141"/>
    <x v="90"/>
  </r>
  <r>
    <n v="271"/>
    <x v="0"/>
    <x v="7"/>
    <x v="9"/>
    <x v="266"/>
    <n v="146"/>
    <n v="186.3"/>
    <n v="159.19999999999999"/>
    <n v="153.6"/>
    <n v="142.6"/>
    <n v="147.19999999999999"/>
    <n v="200.6"/>
    <n v="150.30000000000001"/>
    <n v="115.3"/>
    <n v="160.9"/>
    <n v="147.4"/>
    <n v="161.9"/>
    <n v="159.6"/>
    <n v="182.7"/>
    <n v="155.69999999999999"/>
    <n v="150.6"/>
    <n v="155"/>
    <n v="139.12"/>
    <n v="146.80000000000001"/>
    <n v="152"/>
    <n v="159.5"/>
    <n v="146.4"/>
    <n v="152.4"/>
    <n v="162.5"/>
    <n v="156.19999999999999"/>
    <n v="154.30000000000001"/>
    <n v="157.5"/>
    <n v="229.11499999999998"/>
    <x v="91"/>
  </r>
  <r>
    <n v="272"/>
    <x v="1"/>
    <x v="7"/>
    <x v="9"/>
    <x v="267"/>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n v="230.53571428571425"/>
    <x v="91"/>
  </r>
  <r>
    <n v="273"/>
    <x v="2"/>
    <x v="7"/>
    <x v="9"/>
    <x v="268"/>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n v="229.65714285714287"/>
    <x v="91"/>
  </r>
  <r>
    <n v="274"/>
    <x v="0"/>
    <x v="7"/>
    <x v="11"/>
    <x v="269"/>
    <n v="145.4"/>
    <n v="188.6"/>
    <n v="171.6"/>
    <n v="153.80000000000001"/>
    <n v="145.4"/>
    <n v="146.5"/>
    <n v="222.2"/>
    <n v="155.9"/>
    <n v="114.9"/>
    <n v="162"/>
    <n v="150"/>
    <n v="162.69999999999999"/>
    <n v="163.4"/>
    <n v="183.4"/>
    <n v="156.30000000000001"/>
    <n v="151"/>
    <n v="155.5"/>
    <n v="139.12"/>
    <n v="147.5"/>
    <n v="152.80000000000001"/>
    <n v="160.4"/>
    <n v="146.1"/>
    <n v="153.6"/>
    <n v="161.6"/>
    <n v="156.19999999999999"/>
    <n v="154.5"/>
    <n v="159.80000000000001"/>
    <n v="233.07214285714286"/>
    <x v="92"/>
  </r>
  <r>
    <n v="275"/>
    <x v="1"/>
    <x v="7"/>
    <x v="11"/>
    <x v="270"/>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n v="233.74642857142859"/>
    <x v="92"/>
  </r>
  <r>
    <n v="276"/>
    <x v="2"/>
    <x v="7"/>
    <x v="11"/>
    <x v="271"/>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n v="233.36428571428567"/>
    <x v="92"/>
  </r>
  <r>
    <n v="277"/>
    <x v="0"/>
    <x v="7"/>
    <x v="12"/>
    <x v="272"/>
    <n v="144.6"/>
    <n v="188.5"/>
    <n v="173.4"/>
    <n v="154"/>
    <n v="150"/>
    <n v="145.9"/>
    <n v="225.2"/>
    <n v="159.5"/>
    <n v="114.4"/>
    <n v="163.5"/>
    <n v="153.4"/>
    <n v="163.6"/>
    <n v="164.5"/>
    <n v="183.6"/>
    <n v="157"/>
    <n v="151.6"/>
    <n v="156.30000000000001"/>
    <n v="139.12"/>
    <n v="148.69999999999999"/>
    <n v="153.4"/>
    <n v="161.6"/>
    <n v="146.4"/>
    <n v="153.9"/>
    <n v="162.9"/>
    <n v="156.6"/>
    <n v="155.19999999999999"/>
    <n v="160.69999999999999"/>
    <n v="234.70071428571427"/>
    <x v="93"/>
  </r>
  <r>
    <n v="278"/>
    <x v="1"/>
    <x v="7"/>
    <x v="12"/>
    <x v="273"/>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n v="234.37499999999991"/>
    <x v="93"/>
  </r>
  <r>
    <n v="279"/>
    <x v="2"/>
    <x v="7"/>
    <x v="12"/>
    <x v="274"/>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n v="234.63571428571422"/>
    <x v="93"/>
  </r>
  <r>
    <n v="280"/>
    <x v="0"/>
    <x v="8"/>
    <x v="0"/>
    <x v="275"/>
    <n v="143.4"/>
    <n v="187.5"/>
    <n v="173.4"/>
    <n v="154"/>
    <n v="154.80000000000001"/>
    <n v="147"/>
    <n v="187.8"/>
    <n v="159.5"/>
    <n v="113.8"/>
    <n v="164.5"/>
    <n v="156.1"/>
    <n v="164.3"/>
    <n v="159.6"/>
    <n v="184.6"/>
    <n v="157.5"/>
    <n v="152.4"/>
    <n v="156.80000000000001"/>
    <n v="139.12"/>
    <n v="150.9"/>
    <n v="153.9"/>
    <n v="162.5"/>
    <n v="147.5"/>
    <n v="155.1"/>
    <n v="163.5"/>
    <n v="156.19999999999999"/>
    <n v="155.9"/>
    <n v="158.5"/>
    <n v="232.51500000000001"/>
    <x v="94"/>
  </r>
  <r>
    <n v="281"/>
    <x v="1"/>
    <x v="8"/>
    <x v="0"/>
    <x v="276"/>
    <n v="148"/>
    <n v="194.8"/>
    <n v="178.4"/>
    <n v="154.4"/>
    <n v="144.1"/>
    <n v="152.6"/>
    <n v="206.8"/>
    <n v="162.1"/>
    <n v="116.3"/>
    <n v="163"/>
    <n v="145.9"/>
    <n v="167.2"/>
    <n v="163.4"/>
    <n v="191.8"/>
    <n v="152.5"/>
    <n v="137.30000000000001"/>
    <n v="150.19999999999999"/>
    <n v="157.69999999999999"/>
    <n v="142.9"/>
    <n v="145.69999999999999"/>
    <n v="154.1"/>
    <n v="136.9"/>
    <n v="145.4"/>
    <n v="156.1"/>
    <n v="157.69999999999999"/>
    <n v="147.6"/>
    <n v="156"/>
    <n v="232.77500000000001"/>
    <x v="94"/>
  </r>
  <r>
    <n v="282"/>
    <x v="2"/>
    <x v="8"/>
    <x v="0"/>
    <x v="277"/>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n v="232.62142857142857"/>
    <x v="94"/>
  </r>
  <r>
    <n v="283"/>
    <x v="0"/>
    <x v="8"/>
    <x v="1"/>
    <x v="278"/>
    <n v="142.80000000000001"/>
    <n v="184"/>
    <n v="168"/>
    <n v="154.4"/>
    <n v="163"/>
    <n v="147.80000000000001"/>
    <n v="149.69999999999999"/>
    <n v="158.30000000000001"/>
    <n v="111.8"/>
    <n v="165"/>
    <n v="160"/>
    <n v="165.8"/>
    <n v="154.69999999999999"/>
    <n v="186.5"/>
    <n v="159.1"/>
    <n v="153.9"/>
    <n v="158.4"/>
    <n v="139.12"/>
    <n v="154.4"/>
    <n v="154.80000000000001"/>
    <n v="164.3"/>
    <n v="150.19999999999999"/>
    <n v="157"/>
    <n v="163.6"/>
    <n v="155.19999999999999"/>
    <n v="157.19999999999999"/>
    <n v="156.69999999999999"/>
    <n v="230.26857142857145"/>
    <x v="95"/>
  </r>
  <r>
    <n v="284"/>
    <x v="1"/>
    <x v="8"/>
    <x v="1"/>
    <x v="279"/>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n v="231.47857142857148"/>
    <x v="95"/>
  </r>
  <r>
    <n v="285"/>
    <x v="2"/>
    <x v="8"/>
    <x v="1"/>
    <x v="280"/>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n v="230.78214285714284"/>
    <x v="95"/>
  </r>
  <r>
    <n v="286"/>
    <x v="0"/>
    <x v="8"/>
    <x v="2"/>
    <x v="278"/>
    <n v="142.5"/>
    <n v="189.4"/>
    <n v="163.19999999999999"/>
    <n v="154.5"/>
    <n v="168.2"/>
    <n v="150.5"/>
    <n v="141"/>
    <n v="159.19999999999999"/>
    <n v="111.7"/>
    <n v="164"/>
    <n v="160.6"/>
    <n v="166.4"/>
    <n v="154.5"/>
    <n v="186.1"/>
    <n v="159.6"/>
    <n v="154.4"/>
    <n v="158.9"/>
    <n v="139.12"/>
    <n v="156"/>
    <n v="154.80000000000001"/>
    <n v="164.6"/>
    <n v="151.30000000000001"/>
    <n v="157.80000000000001"/>
    <n v="163.80000000000001"/>
    <n v="153.1"/>
    <n v="157.30000000000001"/>
    <n v="156.69999999999999"/>
    <n v="230.39357142857148"/>
    <x v="96"/>
  </r>
  <r>
    <n v="287"/>
    <x v="1"/>
    <x v="8"/>
    <x v="2"/>
    <x v="281"/>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n v="231.81785714285709"/>
    <x v="96"/>
  </r>
  <r>
    <n v="288"/>
    <x v="2"/>
    <x v="8"/>
    <x v="2"/>
    <x v="28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n v="231.02857142857141"/>
    <x v="96"/>
  </r>
  <r>
    <n v="289"/>
    <x v="0"/>
    <x v="8"/>
    <x v="3"/>
    <x v="283"/>
    <n v="142.69999999999999"/>
    <n v="195.5"/>
    <n v="163.4"/>
    <n v="155"/>
    <n v="175.2"/>
    <n v="160.6"/>
    <n v="135.1"/>
    <n v="161.1"/>
    <n v="112.2"/>
    <n v="164.4"/>
    <n v="161.9"/>
    <n v="166.8"/>
    <n v="155.6"/>
    <n v="186.8"/>
    <n v="160.69999999999999"/>
    <n v="155.1"/>
    <n v="159.9"/>
    <n v="139.12"/>
    <n v="156"/>
    <n v="155.5"/>
    <n v="165.3"/>
    <n v="151.69999999999999"/>
    <n v="158.6"/>
    <n v="164.1"/>
    <n v="154.6"/>
    <n v="158"/>
    <n v="157.6"/>
    <n v="232.45785714285719"/>
    <x v="97"/>
  </r>
  <r>
    <n v="290"/>
    <x v="1"/>
    <x v="8"/>
    <x v="3"/>
    <x v="284"/>
    <n v="147.6"/>
    <n v="202.5"/>
    <n v="166.4"/>
    <n v="156"/>
    <n v="161.4"/>
    <n v="168.8"/>
    <n v="161.6"/>
    <n v="162.80000000000001"/>
    <n v="114.8"/>
    <n v="162.80000000000001"/>
    <n v="151.5"/>
    <n v="171.4"/>
    <n v="162"/>
    <n v="194.4"/>
    <n v="155.9"/>
    <n v="139.30000000000001"/>
    <n v="153.4"/>
    <n v="161.4"/>
    <n v="154.9"/>
    <n v="147.6"/>
    <n v="157.5"/>
    <n v="142.1"/>
    <n v="149.1"/>
    <n v="157.6"/>
    <n v="156.6"/>
    <n v="150.5"/>
    <n v="158"/>
    <n v="233.99642857142859"/>
    <x v="97"/>
  </r>
  <r>
    <n v="291"/>
    <x v="2"/>
    <x v="8"/>
    <x v="3"/>
    <x v="285"/>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n v="233.18571428571431"/>
    <x v="97"/>
  </r>
  <r>
    <n v="292"/>
    <x v="0"/>
    <x v="8"/>
    <x v="4"/>
    <x v="286"/>
    <n v="145.1"/>
    <n v="198.5"/>
    <n v="168.6"/>
    <n v="155.80000000000001"/>
    <n v="184.4"/>
    <n v="162.30000000000001"/>
    <n v="138.4"/>
    <n v="165.1"/>
    <n v="114.3"/>
    <n v="169.7"/>
    <n v="164.6"/>
    <n v="169.8"/>
    <n v="158.69999999999999"/>
    <n v="189.6"/>
    <n v="165.3"/>
    <n v="160.6"/>
    <n v="164.5"/>
    <n v="139.12"/>
    <n v="161.69999999999999"/>
    <n v="158.80000000000001"/>
    <n v="169.1"/>
    <n v="153.19999999999999"/>
    <n v="160"/>
    <n v="167.6"/>
    <n v="159.30000000000001"/>
    <n v="161.1"/>
    <n v="161.1"/>
    <n v="237.54357142857151"/>
    <x v="98"/>
  </r>
  <r>
    <n v="293"/>
    <x v="1"/>
    <x v="8"/>
    <x v="4"/>
    <x v="287"/>
    <n v="148.80000000000001"/>
    <n v="204.3"/>
    <n v="173"/>
    <n v="156.5"/>
    <n v="168.8"/>
    <n v="172.5"/>
    <n v="166.5"/>
    <n v="165.9"/>
    <n v="115.9"/>
    <n v="165.2"/>
    <n v="152"/>
    <n v="171.1"/>
    <n v="164.2"/>
    <n v="198.2"/>
    <n v="156.5"/>
    <n v="140.19999999999999"/>
    <n v="154.1"/>
    <n v="161.6"/>
    <n v="155.5"/>
    <n v="150.1"/>
    <n v="160.4"/>
    <n v="145"/>
    <n v="152.6"/>
    <n v="156.6"/>
    <n v="157.5"/>
    <n v="152.30000000000001"/>
    <n v="159.5"/>
    <n v="237.41785714285723"/>
    <x v="98"/>
  </r>
  <r>
    <n v="294"/>
    <x v="2"/>
    <x v="8"/>
    <x v="4"/>
    <x v="288"/>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n v="237.59642857142856"/>
    <x v="98"/>
  </r>
  <r>
    <n v="295"/>
    <x v="0"/>
    <x v="8"/>
    <x v="5"/>
    <x v="289"/>
    <n v="145.6"/>
    <n v="200.1"/>
    <n v="179.3"/>
    <n v="156.1"/>
    <n v="190.4"/>
    <n v="158.6"/>
    <n v="144.69999999999999"/>
    <n v="165.5"/>
    <n v="114.6"/>
    <n v="170"/>
    <n v="165.5"/>
    <n v="171.7"/>
    <n v="160.5"/>
    <n v="189.1"/>
    <n v="165.3"/>
    <n v="159.9"/>
    <n v="164.6"/>
    <n v="139.12"/>
    <n v="162.1"/>
    <n v="159.19999999999999"/>
    <n v="169.7"/>
    <n v="154.19999999999999"/>
    <n v="160.4"/>
    <n v="166.8"/>
    <n v="159.4"/>
    <n v="161.5"/>
    <n v="162.1"/>
    <n v="239.56142857142854"/>
    <x v="99"/>
  </r>
  <r>
    <n v="296"/>
    <x v="1"/>
    <x v="8"/>
    <x v="5"/>
    <x v="290"/>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n v="239.55357142857142"/>
    <x v="99"/>
  </r>
  <r>
    <n v="297"/>
    <x v="2"/>
    <x v="8"/>
    <x v="5"/>
    <x v="291"/>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n v="239.66071428571428"/>
    <x v="99"/>
  </r>
  <r>
    <n v="298"/>
    <x v="0"/>
    <x v="8"/>
    <x v="6"/>
    <x v="292"/>
    <n v="145.1"/>
    <n v="204.5"/>
    <n v="180.4"/>
    <n v="157.1"/>
    <n v="188.7"/>
    <n v="157.69999999999999"/>
    <n v="152.80000000000001"/>
    <n v="163.6"/>
    <n v="113.9"/>
    <n v="169.7"/>
    <n v="166.2"/>
    <n v="171"/>
    <n v="161.69999999999999"/>
    <n v="189.7"/>
    <n v="166"/>
    <n v="161.1"/>
    <n v="165.3"/>
    <n v="139.12"/>
    <n v="162.5"/>
    <n v="160.30000000000001"/>
    <n v="170.4"/>
    <n v="157.1"/>
    <n v="160.69999999999999"/>
    <n v="167.2"/>
    <n v="160.4"/>
    <n v="162.80000000000001"/>
    <n v="163.19999999999999"/>
    <n v="240.72571428571425"/>
    <x v="100"/>
  </r>
  <r>
    <n v="299"/>
    <x v="1"/>
    <x v="8"/>
    <x v="6"/>
    <x v="293"/>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n v="241.38214285714281"/>
    <x v="100"/>
  </r>
  <r>
    <n v="300"/>
    <x v="2"/>
    <x v="8"/>
    <x v="6"/>
    <x v="294"/>
    <n v="146.4"/>
    <n v="206.8"/>
    <n v="182.2"/>
    <n v="157.5"/>
    <n v="182.1"/>
    <n v="163.9"/>
    <n v="164.2"/>
    <n v="164"/>
    <n v="114.5"/>
    <n v="168.3"/>
    <n v="160.9"/>
    <n v="172.2"/>
    <n v="164"/>
    <n v="191.2"/>
    <n v="162.80000000000001"/>
    <n v="153.1"/>
    <n v="161.4"/>
    <n v="161.5"/>
    <n v="160.69999999999999"/>
    <n v="155.80000000000001"/>
    <n v="167"/>
    <n v="153.1"/>
    <n v="155.30000000000001"/>
    <n v="163.19999999999999"/>
    <n v="160.1"/>
    <n v="159"/>
    <n v="162.5"/>
    <n v="241.13928571428573"/>
    <x v="100"/>
  </r>
  <r>
    <n v="301"/>
    <x v="0"/>
    <x v="8"/>
    <x v="7"/>
    <x v="295"/>
    <n v="144.9"/>
    <n v="202.3"/>
    <n v="176.5"/>
    <n v="157.5"/>
    <n v="190.9"/>
    <n v="155.69999999999999"/>
    <n v="153.9"/>
    <n v="162.80000000000001"/>
    <n v="115.2"/>
    <n v="169.8"/>
    <n v="167.6"/>
    <n v="171.9"/>
    <n v="161.80000000000001"/>
    <n v="190.2"/>
    <n v="167"/>
    <n v="162.6"/>
    <n v="166.3"/>
    <n v="139.12"/>
    <n v="163.1"/>
    <n v="160.9"/>
    <n v="171.1"/>
    <n v="157.69999999999999"/>
    <n v="161.1"/>
    <n v="167.5"/>
    <n v="160.30000000000001"/>
    <n v="163.30000000000001"/>
    <n v="163.6"/>
    <n v="240.91500000000005"/>
    <x v="101"/>
  </r>
  <r>
    <n v="302"/>
    <x v="1"/>
    <x v="8"/>
    <x v="7"/>
    <x v="296"/>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n v="241.09642857142862"/>
    <x v="101"/>
  </r>
  <r>
    <n v="303"/>
    <x v="2"/>
    <x v="8"/>
    <x v="7"/>
    <x v="29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n v="241.44285714285715"/>
    <x v="101"/>
  </r>
  <r>
    <n v="304"/>
    <x v="0"/>
    <x v="8"/>
    <x v="8"/>
    <x v="298"/>
    <n v="145.4"/>
    <n v="202.1"/>
    <n v="172"/>
    <n v="158"/>
    <n v="195.5"/>
    <n v="152.69999999999999"/>
    <n v="151.4"/>
    <n v="163.9"/>
    <n v="119.3"/>
    <n v="170.1"/>
    <n v="168.3"/>
    <n v="172.8"/>
    <n v="162.1"/>
    <n v="190.5"/>
    <n v="167.7"/>
    <n v="163.6"/>
    <n v="167.1"/>
    <n v="139.12"/>
    <n v="163.69999999999999"/>
    <n v="161.30000000000001"/>
    <n v="171.9"/>
    <n v="157.80000000000001"/>
    <n v="162.69999999999999"/>
    <n v="168.5"/>
    <n v="160.19999999999999"/>
    <n v="163.80000000000001"/>
    <n v="164"/>
    <n v="241.41500000000002"/>
    <x v="102"/>
  </r>
  <r>
    <n v="305"/>
    <x v="1"/>
    <x v="8"/>
    <x v="8"/>
    <x v="296"/>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n v="241.11428571428578"/>
    <x v="102"/>
  </r>
  <r>
    <n v="306"/>
    <x v="2"/>
    <x v="8"/>
    <x v="8"/>
    <x v="297"/>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n v="241.45000000000002"/>
    <x v="102"/>
  </r>
  <r>
    <n v="307"/>
    <x v="0"/>
    <x v="8"/>
    <x v="9"/>
    <x v="299"/>
    <n v="146.1"/>
    <n v="202.5"/>
    <n v="170.1"/>
    <n v="158.4"/>
    <n v="198.8"/>
    <n v="152.6"/>
    <n v="170.4"/>
    <n v="165.2"/>
    <n v="121.6"/>
    <n v="170.6"/>
    <n v="168.8"/>
    <n v="173.6"/>
    <n v="165.5"/>
    <n v="191.2"/>
    <n v="168.9"/>
    <n v="164.8"/>
    <n v="168.3"/>
    <n v="139.12"/>
    <n v="165.5"/>
    <n v="162"/>
    <n v="172.5"/>
    <n v="159.5"/>
    <n v="163.19999999999999"/>
    <n v="169"/>
    <n v="161.1"/>
    <n v="164.7"/>
    <n v="166.3"/>
    <n v="244.13285714285712"/>
    <x v="103"/>
  </r>
  <r>
    <n v="308"/>
    <x v="1"/>
    <x v="8"/>
    <x v="9"/>
    <x v="300"/>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n v="244.55000000000004"/>
    <x v="103"/>
  </r>
  <r>
    <n v="309"/>
    <x v="2"/>
    <x v="8"/>
    <x v="9"/>
    <x v="301"/>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n v="244.41071428571425"/>
    <x v="103"/>
  </r>
  <r>
    <n v="310"/>
    <x v="0"/>
    <x v="8"/>
    <x v="11"/>
    <x v="302"/>
    <n v="146.9"/>
    <n v="199.8"/>
    <n v="171.5"/>
    <n v="159.1"/>
    <n v="198.4"/>
    <n v="153.19999999999999"/>
    <n v="183.9"/>
    <n v="165.4"/>
    <n v="122.1"/>
    <n v="170.8"/>
    <n v="169.1"/>
    <n v="174.3"/>
    <n v="167.5"/>
    <n v="191.4"/>
    <n v="170.4"/>
    <n v="166"/>
    <n v="169.8"/>
    <n v="139.12"/>
    <n v="165.3"/>
    <n v="162.9"/>
    <n v="173.4"/>
    <n v="158.9"/>
    <n v="163.80000000000001"/>
    <n v="169.3"/>
    <n v="162.4"/>
    <n v="165.2"/>
    <n v="167.6"/>
    <n v="245.74714285714282"/>
    <x v="104"/>
  </r>
  <r>
    <n v="311"/>
    <x v="1"/>
    <x v="8"/>
    <x v="11"/>
    <x v="303"/>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n v="246.27500000000003"/>
    <x v="104"/>
  </r>
  <r>
    <n v="312"/>
    <x v="2"/>
    <x v="8"/>
    <x v="11"/>
    <x v="304"/>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n v="246.10357142857134"/>
    <x v="104"/>
  </r>
  <r>
    <n v="313"/>
    <x v="0"/>
    <x v="8"/>
    <x v="12"/>
    <x v="305"/>
    <n v="147.4"/>
    <n v="197"/>
    <n v="176.5"/>
    <n v="159.80000000000001"/>
    <n v="195.8"/>
    <n v="152"/>
    <n v="172.3"/>
    <n v="164.5"/>
    <n v="120.6"/>
    <n v="171.7"/>
    <n v="169.7"/>
    <n v="175.1"/>
    <n v="165.8"/>
    <n v="190.8"/>
    <n v="171.8"/>
    <n v="167.3"/>
    <n v="171.2"/>
    <n v="139.12"/>
    <n v="165.6"/>
    <n v="163.9"/>
    <n v="174"/>
    <n v="160.1"/>
    <n v="164.5"/>
    <n v="169.7"/>
    <n v="162.80000000000001"/>
    <n v="166"/>
    <n v="167"/>
    <n v="245.03642857142862"/>
    <x v="105"/>
  </r>
  <r>
    <n v="314"/>
    <x v="1"/>
    <x v="8"/>
    <x v="12"/>
    <x v="306"/>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n v="245.66071428571428"/>
    <x v="105"/>
  </r>
  <r>
    <n v="315"/>
    <x v="2"/>
    <x v="8"/>
    <x v="12"/>
    <x v="307"/>
    <n v="148.69999999999999"/>
    <n v="198.8"/>
    <n v="177.9"/>
    <n v="159.9"/>
    <n v="187.6"/>
    <n v="154.9"/>
    <n v="188.3"/>
    <n v="164.4"/>
    <n v="121"/>
    <n v="170.5"/>
    <n v="164.2"/>
    <n v="176.5"/>
    <n v="168.2"/>
    <n v="192.4"/>
    <n v="168.5"/>
    <n v="158.69999999999999"/>
    <n v="167"/>
    <n v="163.4"/>
    <n v="164.1"/>
    <n v="160.19999999999999"/>
    <n v="170.6"/>
    <n v="155.69999999999999"/>
    <n v="160.6"/>
    <n v="164.4"/>
    <n v="162.6"/>
    <n v="162"/>
    <n v="166.2"/>
    <n v="245.37857142857143"/>
    <x v="105"/>
  </r>
  <r>
    <n v="316"/>
    <x v="0"/>
    <x v="9"/>
    <x v="0"/>
    <x v="308"/>
    <n v="148.30000000000001"/>
    <n v="196.9"/>
    <n v="178"/>
    <n v="160.5"/>
    <n v="192.6"/>
    <n v="151.19999999999999"/>
    <n v="159.19999999999999"/>
    <n v="164"/>
    <n v="119.3"/>
    <n v="173.3"/>
    <n v="169.8"/>
    <n v="175.8"/>
    <n v="164.1"/>
    <n v="190.7"/>
    <n v="173.2"/>
    <n v="169.3"/>
    <n v="172.7"/>
    <n v="139.12"/>
    <n v="165.8"/>
    <n v="164.9"/>
    <n v="174.7"/>
    <n v="160.80000000000001"/>
    <n v="164.9"/>
    <n v="169.9"/>
    <n v="163.19999999999999"/>
    <n v="166.6"/>
    <n v="166.4"/>
    <n v="244.24714285714282"/>
    <x v="106"/>
  </r>
  <r>
    <n v="317"/>
    <x v="1"/>
    <x v="9"/>
    <x v="0"/>
    <x v="309"/>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n v="244.61071428571429"/>
    <x v="106"/>
  </r>
  <r>
    <n v="318"/>
    <x v="2"/>
    <x v="9"/>
    <x v="0"/>
    <x v="310"/>
    <n v="149.5"/>
    <n v="198.7"/>
    <n v="178.8"/>
    <n v="160.5"/>
    <n v="184.7"/>
    <n v="153.69999999999999"/>
    <n v="174.3"/>
    <n v="163.9"/>
    <n v="120"/>
    <n v="172.1"/>
    <n v="164.3"/>
    <n v="177.3"/>
    <n v="166.4"/>
    <n v="192.2"/>
    <n v="169.9"/>
    <n v="160.69999999999999"/>
    <n v="168.5"/>
    <n v="164.5"/>
    <n v="164.2"/>
    <n v="161.1"/>
    <n v="171.4"/>
    <n v="156.5"/>
    <n v="161.19999999999999"/>
    <n v="164.7"/>
    <n v="163"/>
    <n v="162.69999999999999"/>
    <n v="165.7"/>
    <n v="244.53214285714279"/>
    <x v="106"/>
  </r>
  <r>
    <n v="319"/>
    <x v="0"/>
    <x v="9"/>
    <x v="1"/>
    <x v="311"/>
    <n v="148.80000000000001"/>
    <n v="198.1"/>
    <n v="175.5"/>
    <n v="160.69999999999999"/>
    <n v="192.6"/>
    <n v="151.4"/>
    <n v="155.19999999999999"/>
    <n v="163.9"/>
    <n v="118.1"/>
    <n v="175.4"/>
    <n v="170.5"/>
    <n v="176.3"/>
    <n v="163.9"/>
    <n v="191.5"/>
    <n v="174.1"/>
    <n v="171"/>
    <n v="173.7"/>
    <n v="139.12"/>
    <n v="167.4"/>
    <n v="165.7"/>
    <n v="175.3"/>
    <n v="161.19999999999999"/>
    <n v="165.5"/>
    <n v="170.3"/>
    <n v="164.5"/>
    <n v="167.3"/>
    <n v="166.7"/>
    <n v="244.48642857142858"/>
    <x v="107"/>
  </r>
  <r>
    <n v="320"/>
    <x v="1"/>
    <x v="9"/>
    <x v="1"/>
    <x v="312"/>
    <n v="152.5"/>
    <n v="205.2"/>
    <n v="176.4"/>
    <n v="160.6"/>
    <n v="171.5"/>
    <n v="156.4"/>
    <n v="198"/>
    <n v="163.19999999999999"/>
    <n v="120.6"/>
    <n v="172.2"/>
    <n v="156.69999999999999"/>
    <n v="180"/>
    <n v="170.2"/>
    <n v="196.5"/>
    <n v="165.7"/>
    <n v="150.4"/>
    <n v="163.4"/>
    <n v="165.5"/>
    <n v="163"/>
    <n v="157.4"/>
    <n v="167.2"/>
    <n v="153.1"/>
    <n v="159.5"/>
    <n v="162"/>
    <n v="164.2"/>
    <n v="159.4"/>
    <n v="165.5"/>
    <n v="244.86785714285705"/>
    <x v="107"/>
  </r>
  <r>
    <n v="321"/>
    <x v="2"/>
    <x v="9"/>
    <x v="1"/>
    <x v="313"/>
    <n v="150"/>
    <n v="200.6"/>
    <n v="175.8"/>
    <n v="160.69999999999999"/>
    <n v="184.9"/>
    <n v="153.69999999999999"/>
    <n v="169.7"/>
    <n v="163.69999999999999"/>
    <n v="118.9"/>
    <n v="174.3"/>
    <n v="164.7"/>
    <n v="178"/>
    <n v="166.2"/>
    <n v="192.8"/>
    <n v="170.8"/>
    <n v="162.4"/>
    <n v="169.6"/>
    <n v="165.5"/>
    <n v="165.7"/>
    <n v="161.80000000000001"/>
    <n v="172.2"/>
    <n v="156.9"/>
    <n v="162.1"/>
    <n v="165.4"/>
    <n v="164.4"/>
    <n v="163.5"/>
    <n v="166.1"/>
    <n v="244.79999999999998"/>
    <x v="107"/>
  </r>
  <r>
    <n v="322"/>
    <x v="0"/>
    <x v="9"/>
    <x v="2"/>
    <x v="314"/>
    <n v="150.19999999999999"/>
    <n v="208"/>
    <n v="167.9"/>
    <n v="162"/>
    <n v="203.1"/>
    <n v="155.9"/>
    <n v="155.80000000000001"/>
    <n v="164.2"/>
    <n v="118.1"/>
    <n v="178.7"/>
    <n v="171.2"/>
    <n v="177.4"/>
    <n v="166.6"/>
    <n v="192.3"/>
    <n v="175.4"/>
    <n v="173.2"/>
    <n v="175.1"/>
    <n v="139.12"/>
    <n v="168.9"/>
    <n v="166.5"/>
    <n v="176"/>
    <n v="162"/>
    <n v="166.6"/>
    <n v="170.6"/>
    <n v="167.4"/>
    <n v="168.3"/>
    <n v="168.7"/>
    <n v="247.16499999999999"/>
    <x v="108"/>
  </r>
  <r>
    <n v="323"/>
    <x v="1"/>
    <x v="9"/>
    <x v="2"/>
    <x v="315"/>
    <n v="153.69999999999999"/>
    <n v="215.8"/>
    <n v="167.7"/>
    <n v="162.6"/>
    <n v="180"/>
    <n v="159.6"/>
    <n v="188.4"/>
    <n v="163.4"/>
    <n v="120.3"/>
    <n v="174.7"/>
    <n v="157.1"/>
    <n v="181.5"/>
    <n v="171.5"/>
    <n v="197.5"/>
    <n v="167.1"/>
    <n v="152.6"/>
    <n v="164.9"/>
    <n v="165.3"/>
    <n v="164.5"/>
    <n v="158.6"/>
    <n v="168.2"/>
    <n v="154.19999999999999"/>
    <n v="160.80000000000001"/>
    <n v="162.69999999999999"/>
    <n v="166.8"/>
    <n v="160.6"/>
    <n v="166.5"/>
    <n v="246.44285714285721"/>
    <x v="108"/>
  </r>
  <r>
    <n v="324"/>
    <x v="2"/>
    <x v="9"/>
    <x v="2"/>
    <x v="316"/>
    <n v="151.30000000000001"/>
    <n v="210.7"/>
    <n v="167.8"/>
    <n v="162.19999999999999"/>
    <n v="194.6"/>
    <n v="157.6"/>
    <n v="166.9"/>
    <n v="163.9"/>
    <n v="118.8"/>
    <n v="177.4"/>
    <n v="165.3"/>
    <n v="179.3"/>
    <n v="168.4"/>
    <n v="193.7"/>
    <n v="172.1"/>
    <n v="164.6"/>
    <n v="171.1"/>
    <n v="165.3"/>
    <n v="167.2"/>
    <n v="162.80000000000001"/>
    <n v="173"/>
    <n v="157.9"/>
    <n v="163.30000000000001"/>
    <n v="166"/>
    <n v="167.2"/>
    <n v="164.6"/>
    <n v="167.7"/>
    <n v="247.09285714285718"/>
    <x v="108"/>
  </r>
  <r>
    <n v="325"/>
    <x v="0"/>
    <x v="9"/>
    <x v="3"/>
    <x v="317"/>
    <n v="151.80000000000001"/>
    <n v="209.7"/>
    <n v="164.5"/>
    <n v="163.80000000000001"/>
    <n v="207.4"/>
    <n v="169.7"/>
    <n v="153.6"/>
    <n v="165.1"/>
    <n v="118.2"/>
    <n v="182.9"/>
    <n v="172.4"/>
    <n v="178.9"/>
    <n v="168.6"/>
    <n v="192.8"/>
    <n v="177.5"/>
    <n v="175.1"/>
    <n v="177.1"/>
    <n v="139.12"/>
    <n v="173.3"/>
    <n v="167.7"/>
    <n v="177"/>
    <n v="166.2"/>
    <n v="167.2"/>
    <n v="170.9"/>
    <n v="169"/>
    <n v="170.2"/>
    <n v="170.8"/>
    <n v="249.99714285714285"/>
    <x v="109"/>
  </r>
  <r>
    <n v="326"/>
    <x v="1"/>
    <x v="9"/>
    <x v="3"/>
    <x v="318"/>
    <n v="155.4"/>
    <n v="215.8"/>
    <n v="164.6"/>
    <n v="164.2"/>
    <n v="186"/>
    <n v="175.9"/>
    <n v="190.7"/>
    <n v="164"/>
    <n v="120.5"/>
    <n v="178"/>
    <n v="157.5"/>
    <n v="183.3"/>
    <n v="174.5"/>
    <n v="197.1"/>
    <n v="168.4"/>
    <n v="154.5"/>
    <n v="166.3"/>
    <n v="167"/>
    <n v="170.5"/>
    <n v="159.80000000000001"/>
    <n v="169"/>
    <n v="159.30000000000001"/>
    <n v="162.19999999999999"/>
    <n v="164"/>
    <n v="168.4"/>
    <n v="163.1"/>
    <n v="169.2"/>
    <n v="249.8821428571429"/>
    <x v="109"/>
  </r>
  <r>
    <n v="327"/>
    <x v="2"/>
    <x v="9"/>
    <x v="3"/>
    <x v="319"/>
    <n v="152.9"/>
    <n v="211.8"/>
    <n v="164.5"/>
    <n v="163.9"/>
    <n v="199.5"/>
    <n v="172.6"/>
    <n v="166.2"/>
    <n v="164.7"/>
    <n v="119"/>
    <n v="181.3"/>
    <n v="166.2"/>
    <n v="180.9"/>
    <n v="170.8"/>
    <n v="193.9"/>
    <n v="173.9"/>
    <n v="166.5"/>
    <n v="172.8"/>
    <n v="167"/>
    <n v="172.2"/>
    <n v="164"/>
    <n v="174"/>
    <n v="162.6"/>
    <n v="164.4"/>
    <n v="166.9"/>
    <n v="168.8"/>
    <n v="166.8"/>
    <n v="170.1"/>
    <n v="250.22857142857143"/>
    <x v="109"/>
  </r>
  <r>
    <n v="328"/>
    <x v="0"/>
    <x v="9"/>
    <x v="4"/>
    <x v="320"/>
    <n v="152.9"/>
    <n v="214.7"/>
    <n v="161.4"/>
    <n v="164.6"/>
    <n v="209.9"/>
    <n v="168"/>
    <n v="160.4"/>
    <n v="165"/>
    <n v="118.9"/>
    <n v="186.6"/>
    <n v="173.2"/>
    <n v="180.4"/>
    <n v="170.8"/>
    <n v="192.9"/>
    <n v="179.3"/>
    <n v="177.2"/>
    <n v="179"/>
    <n v="139.12"/>
    <n v="175.3"/>
    <n v="168.9"/>
    <n v="177.7"/>
    <n v="167.1"/>
    <n v="167.6"/>
    <n v="171.8"/>
    <n v="168.5"/>
    <n v="170.9"/>
    <n v="172.5"/>
    <n v="251.94"/>
    <x v="110"/>
  </r>
  <r>
    <n v="329"/>
    <x v="1"/>
    <x v="9"/>
    <x v="4"/>
    <x v="321"/>
    <n v="156.69999999999999"/>
    <n v="221.2"/>
    <n v="164.1"/>
    <n v="165.4"/>
    <n v="189.5"/>
    <n v="174.5"/>
    <n v="203.2"/>
    <n v="164.1"/>
    <n v="121.2"/>
    <n v="181.4"/>
    <n v="158.5"/>
    <n v="184.9"/>
    <n v="177.5"/>
    <n v="197.5"/>
    <n v="170"/>
    <n v="155.9"/>
    <n v="167.8"/>
    <n v="167.5"/>
    <n v="173.5"/>
    <n v="161.1"/>
    <n v="170.1"/>
    <n v="159.4"/>
    <n v="163.19999999999999"/>
    <n v="165.2"/>
    <n v="168.2"/>
    <n v="163.80000000000001"/>
    <n v="170.8"/>
    <n v="252.71071428571423"/>
    <x v="110"/>
  </r>
  <r>
    <n v="330"/>
    <x v="2"/>
    <x v="9"/>
    <x v="4"/>
    <x v="322"/>
    <n v="154.1"/>
    <n v="217"/>
    <n v="162.4"/>
    <n v="164.9"/>
    <n v="202.4"/>
    <n v="171"/>
    <n v="174.9"/>
    <n v="164.7"/>
    <n v="119.7"/>
    <n v="184.9"/>
    <n v="167.1"/>
    <n v="182.5"/>
    <n v="173.3"/>
    <n v="194.1"/>
    <n v="175.6"/>
    <n v="168.4"/>
    <n v="174.6"/>
    <n v="167.5"/>
    <n v="174.6"/>
    <n v="165.2"/>
    <n v="174.8"/>
    <n v="163"/>
    <n v="165.1"/>
    <n v="167.9"/>
    <n v="168.4"/>
    <n v="167.5"/>
    <n v="171.7"/>
    <n v="252.51071428571433"/>
    <x v="110"/>
  </r>
  <r>
    <n v="331"/>
    <x v="0"/>
    <x v="9"/>
    <x v="5"/>
    <x v="323"/>
    <n v="153.80000000000001"/>
    <n v="217.2"/>
    <n v="169.6"/>
    <n v="165.4"/>
    <n v="208.1"/>
    <n v="165.8"/>
    <n v="167.3"/>
    <n v="164.6"/>
    <n v="119.1"/>
    <n v="188.9"/>
    <n v="174.2"/>
    <n v="181.9"/>
    <n v="172.4"/>
    <n v="192.9"/>
    <n v="180.7"/>
    <n v="178.7"/>
    <n v="180.4"/>
    <n v="139.12"/>
    <n v="176.7"/>
    <n v="170.3"/>
    <n v="178.2"/>
    <n v="165.5"/>
    <n v="168"/>
    <n v="172.6"/>
    <n v="169.5"/>
    <n v="171"/>
    <n v="173.6"/>
    <n v="253.81142857142851"/>
    <x v="111"/>
  </r>
  <r>
    <n v="332"/>
    <x v="1"/>
    <x v="9"/>
    <x v="5"/>
    <x v="324"/>
    <n v="157.5"/>
    <n v="223.4"/>
    <n v="172.8"/>
    <n v="166.4"/>
    <n v="188.6"/>
    <n v="174.1"/>
    <n v="211.5"/>
    <n v="163.6"/>
    <n v="121.4"/>
    <n v="183.5"/>
    <n v="159.1"/>
    <n v="186.3"/>
    <n v="179.3"/>
    <n v="198.3"/>
    <n v="171.6"/>
    <n v="157.4"/>
    <n v="169.4"/>
    <n v="166.8"/>
    <n v="174.9"/>
    <n v="162.1"/>
    <n v="170.9"/>
    <n v="157.19999999999999"/>
    <n v="164.1"/>
    <n v="166.5"/>
    <n v="169.2"/>
    <n v="163.80000000000001"/>
    <n v="171.4"/>
    <n v="254.88928571428573"/>
    <x v="111"/>
  </r>
  <r>
    <n v="333"/>
    <x v="2"/>
    <x v="9"/>
    <x v="5"/>
    <x v="325"/>
    <n v="155"/>
    <n v="219.4"/>
    <n v="170.8"/>
    <n v="165.8"/>
    <n v="200.9"/>
    <n v="169.7"/>
    <n v="182.3"/>
    <n v="164.3"/>
    <n v="119.9"/>
    <n v="187.1"/>
    <n v="167.9"/>
    <n v="183.9"/>
    <n v="174.9"/>
    <n v="194.3"/>
    <n v="177.1"/>
    <n v="169.9"/>
    <n v="176"/>
    <n v="166.8"/>
    <n v="176"/>
    <n v="166.4"/>
    <n v="175.4"/>
    <n v="161.1"/>
    <n v="165.8"/>
    <n v="169"/>
    <n v="169.4"/>
    <n v="167.5"/>
    <n v="172.6"/>
    <n v="254.47857142857146"/>
    <x v="111"/>
  </r>
  <r>
    <n v="334"/>
    <x v="0"/>
    <x v="9"/>
    <x v="6"/>
    <x v="326"/>
    <n v="155.19999999999999"/>
    <n v="210.8"/>
    <n v="174.3"/>
    <n v="166.3"/>
    <n v="202.2"/>
    <n v="169.6"/>
    <n v="168.6"/>
    <n v="164.4"/>
    <n v="119.2"/>
    <n v="191.8"/>
    <n v="174.5"/>
    <n v="183.1"/>
    <n v="172.5"/>
    <n v="193.2"/>
    <n v="182"/>
    <n v="180.3"/>
    <n v="181.7"/>
    <n v="139.12"/>
    <n v="179.6"/>
    <n v="171.3"/>
    <n v="178.8"/>
    <n v="166.3"/>
    <n v="168.6"/>
    <n v="174.7"/>
    <n v="169.7"/>
    <n v="171.8"/>
    <n v="174.3"/>
    <n v="254.62928571428574"/>
    <x v="112"/>
  </r>
  <r>
    <n v="335"/>
    <x v="1"/>
    <x v="9"/>
    <x v="6"/>
    <x v="327"/>
    <n v="159.30000000000001"/>
    <n v="217.1"/>
    <n v="176.6"/>
    <n v="167.1"/>
    <n v="184.8"/>
    <n v="179.5"/>
    <n v="208.5"/>
    <n v="164"/>
    <n v="121.5"/>
    <n v="186.3"/>
    <n v="159.80000000000001"/>
    <n v="187.7"/>
    <n v="179.4"/>
    <n v="198.6"/>
    <n v="172.7"/>
    <n v="158.69999999999999"/>
    <n v="170.6"/>
    <n v="167.8"/>
    <n v="179.5"/>
    <n v="163.1"/>
    <n v="171.7"/>
    <n v="157.4"/>
    <n v="164.6"/>
    <n v="169.1"/>
    <n v="169.8"/>
    <n v="164.7"/>
    <n v="172.3"/>
    <n v="255.8"/>
    <x v="112"/>
  </r>
  <r>
    <n v="336"/>
    <x v="2"/>
    <x v="9"/>
    <x v="6"/>
    <x v="328"/>
    <n v="156.5"/>
    <n v="213"/>
    <n v="175.2"/>
    <n v="166.6"/>
    <n v="195.8"/>
    <n v="174.2"/>
    <n v="182.1"/>
    <n v="164.3"/>
    <n v="120"/>
    <n v="190"/>
    <n v="168.4"/>
    <n v="185.2"/>
    <n v="175"/>
    <n v="194.6"/>
    <n v="178.3"/>
    <n v="171.3"/>
    <n v="177.3"/>
    <n v="167.8"/>
    <n v="179.6"/>
    <n v="167.4"/>
    <n v="176.1"/>
    <n v="161.6"/>
    <n v="166.3"/>
    <n v="171.4"/>
    <n v="169.7"/>
    <n v="168.4"/>
    <n v="173.4"/>
    <n v="255.37142857142859"/>
    <x v="112"/>
  </r>
  <r>
    <n v="337"/>
    <x v="0"/>
    <x v="9"/>
    <x v="7"/>
    <x v="329"/>
    <n v="159.5"/>
    <n v="204.1"/>
    <n v="168.3"/>
    <n v="167.9"/>
    <n v="198.1"/>
    <n v="169.2"/>
    <n v="173.1"/>
    <n v="167.1"/>
    <n v="120.2"/>
    <n v="195.6"/>
    <n v="174.8"/>
    <n v="184"/>
    <n v="173.9"/>
    <n v="193.7"/>
    <n v="183.2"/>
    <n v="181.7"/>
    <n v="183"/>
    <n v="139.12"/>
    <n v="179.1"/>
    <n v="172.3"/>
    <n v="179.4"/>
    <n v="166.6"/>
    <n v="169.3"/>
    <n v="175.7"/>
    <n v="171.1"/>
    <n v="172.6"/>
    <n v="175.3"/>
    <n v="255.26500000000001"/>
    <x v="113"/>
  </r>
  <r>
    <n v="338"/>
    <x v="1"/>
    <x v="9"/>
    <x v="7"/>
    <x v="330"/>
    <n v="162.1"/>
    <n v="210.9"/>
    <n v="170.6"/>
    <n v="168.4"/>
    <n v="182.5"/>
    <n v="177.1"/>
    <n v="213.1"/>
    <n v="167.3"/>
    <n v="122.2"/>
    <n v="189.7"/>
    <n v="160.5"/>
    <n v="188.9"/>
    <n v="180.4"/>
    <n v="198.7"/>
    <n v="173.7"/>
    <n v="160"/>
    <n v="171.6"/>
    <n v="169"/>
    <n v="178.4"/>
    <n v="164.2"/>
    <n v="172.6"/>
    <n v="157.69999999999999"/>
    <n v="165.1"/>
    <n v="169.9"/>
    <n v="171.4"/>
    <n v="165.4"/>
    <n v="173.1"/>
    <n v="256.31785714285706"/>
    <x v="113"/>
  </r>
  <r>
    <n v="339"/>
    <x v="2"/>
    <x v="9"/>
    <x v="7"/>
    <x v="331"/>
    <n v="160.30000000000001"/>
    <n v="206.5"/>
    <n v="169.2"/>
    <n v="168.1"/>
    <n v="192.4"/>
    <n v="172.9"/>
    <n v="186.7"/>
    <n v="167.2"/>
    <n v="120.9"/>
    <n v="193.6"/>
    <n v="168.8"/>
    <n v="186.3"/>
    <n v="176.3"/>
    <n v="195"/>
    <n v="179.5"/>
    <n v="172.7"/>
    <n v="178.5"/>
    <n v="169"/>
    <n v="178.8"/>
    <n v="168.5"/>
    <n v="176.8"/>
    <n v="161.9"/>
    <n v="166.9"/>
    <n v="172.3"/>
    <n v="171.2"/>
    <n v="169.1"/>
    <n v="174.3"/>
    <n v="255.99642857142859"/>
    <x v="113"/>
  </r>
  <r>
    <n v="340"/>
    <x v="0"/>
    <x v="9"/>
    <x v="8"/>
    <x v="332"/>
    <n v="162.9"/>
    <n v="206.7"/>
    <n v="169"/>
    <n v="169.5"/>
    <n v="194.1"/>
    <n v="164.1"/>
    <n v="176.9"/>
    <n v="169"/>
    <n v="120.8"/>
    <n v="199.1"/>
    <n v="175.4"/>
    <n v="184.8"/>
    <n v="175.5"/>
    <n v="194.5"/>
    <n v="184.7"/>
    <n v="183.3"/>
    <n v="184.5"/>
    <n v="139.12"/>
    <n v="179.7"/>
    <n v="173.6"/>
    <n v="180.2"/>
    <n v="166.9"/>
    <n v="170"/>
    <n v="176.2"/>
    <n v="170.8"/>
    <n v="173.1"/>
    <n v="176.4"/>
    <n v="256.54000000000002"/>
    <x v="114"/>
  </r>
  <r>
    <n v="341"/>
    <x v="1"/>
    <x v="9"/>
    <x v="8"/>
    <x v="333"/>
    <n v="164.9"/>
    <n v="213.7"/>
    <n v="170.9"/>
    <n v="170.1"/>
    <n v="179.3"/>
    <n v="167.5"/>
    <n v="220.8"/>
    <n v="169.2"/>
    <n v="123.1"/>
    <n v="193.6"/>
    <n v="161.1"/>
    <n v="190.4"/>
    <n v="181.8"/>
    <n v="199.7"/>
    <n v="175"/>
    <n v="161.69999999999999"/>
    <n v="173"/>
    <n v="169.5"/>
    <n v="179.2"/>
    <n v="165"/>
    <n v="173.8"/>
    <n v="158.19999999999999"/>
    <n v="165.8"/>
    <n v="170.9"/>
    <n v="171.1"/>
    <n v="166.1"/>
    <n v="174.1"/>
    <n v="257.7"/>
    <x v="114"/>
  </r>
  <r>
    <n v="342"/>
    <x v="2"/>
    <x v="9"/>
    <x v="8"/>
    <x v="334"/>
    <n v="163.5"/>
    <n v="209.2"/>
    <n v="169.7"/>
    <n v="169.7"/>
    <n v="188.7"/>
    <n v="165.7"/>
    <n v="191.8"/>
    <n v="169.1"/>
    <n v="121.6"/>
    <n v="197.3"/>
    <n v="169.4"/>
    <n v="187.4"/>
    <n v="177.8"/>
    <n v="195.9"/>
    <n v="180.9"/>
    <n v="174.3"/>
    <n v="179.9"/>
    <n v="169.5"/>
    <n v="179.5"/>
    <n v="169.5"/>
    <n v="177.8"/>
    <n v="162.30000000000001"/>
    <n v="167.6"/>
    <n v="173.1"/>
    <n v="170.9"/>
    <n v="169.7"/>
    <n v="175.3"/>
    <n v="257.28214285714279"/>
    <x v="114"/>
  </r>
  <r>
    <n v="343"/>
    <x v="0"/>
    <x v="9"/>
    <x v="9"/>
    <x v="335"/>
    <n v="164.7"/>
    <n v="208.8"/>
    <n v="170.3"/>
    <n v="170.9"/>
    <n v="191.6"/>
    <n v="162.19999999999999"/>
    <n v="184.8"/>
    <n v="169.7"/>
    <n v="121.1"/>
    <n v="201.6"/>
    <n v="175.8"/>
    <n v="185.6"/>
    <n v="177.4"/>
    <n v="194.9"/>
    <n v="186.1"/>
    <n v="184.4"/>
    <n v="185.9"/>
    <n v="139.12"/>
    <n v="180.8"/>
    <n v="174.4"/>
    <n v="181.2"/>
    <n v="167.4"/>
    <n v="170.6"/>
    <n v="176.5"/>
    <n v="172"/>
    <n v="173.9"/>
    <n v="177.9"/>
    <n v="258.17928571428564"/>
    <x v="115"/>
  </r>
  <r>
    <n v="344"/>
    <x v="1"/>
    <x v="9"/>
    <x v="9"/>
    <x v="336"/>
    <n v="166.4"/>
    <n v="214.9"/>
    <n v="171.9"/>
    <n v="171"/>
    <n v="177.7"/>
    <n v="165.7"/>
    <n v="228.6"/>
    <n v="169.9"/>
    <n v="123.4"/>
    <n v="196.4"/>
    <n v="161.6"/>
    <n v="191.5"/>
    <n v="183.3"/>
    <n v="200.1"/>
    <n v="175.5"/>
    <n v="162.6"/>
    <n v="173.6"/>
    <n v="171.2"/>
    <n v="180"/>
    <n v="166"/>
    <n v="174.7"/>
    <n v="158.80000000000001"/>
    <n v="166.3"/>
    <n v="171.2"/>
    <n v="172.3"/>
    <n v="166.8"/>
    <n v="175.3"/>
    <n v="259.25357142857149"/>
    <x v="115"/>
  </r>
  <r>
    <n v="345"/>
    <x v="2"/>
    <x v="9"/>
    <x v="9"/>
    <x v="337"/>
    <n v="165.2"/>
    <n v="210.9"/>
    <n v="170.9"/>
    <n v="170.9"/>
    <n v="186.5"/>
    <n v="163.80000000000001"/>
    <n v="199.7"/>
    <n v="169.8"/>
    <n v="121.9"/>
    <n v="199.9"/>
    <n v="169.9"/>
    <n v="188.3"/>
    <n v="179.6"/>
    <n v="196.3"/>
    <n v="181.9"/>
    <n v="175.3"/>
    <n v="181"/>
    <n v="171.2"/>
    <n v="180.5"/>
    <n v="170.4"/>
    <n v="178.7"/>
    <n v="162.9"/>
    <n v="168.2"/>
    <n v="173.4"/>
    <n v="172.1"/>
    <n v="170.5"/>
    <n v="176.7"/>
    <n v="258.92857142857139"/>
    <x v="115"/>
  </r>
  <r>
    <n v="346"/>
    <x v="0"/>
    <x v="9"/>
    <x v="11"/>
    <x v="338"/>
    <n v="166.9"/>
    <n v="207.2"/>
    <n v="180.2"/>
    <n v="172.3"/>
    <n v="194"/>
    <n v="159.1"/>
    <n v="171.6"/>
    <n v="170.2"/>
    <n v="121.5"/>
    <n v="204.8"/>
    <n v="176.4"/>
    <n v="186.9"/>
    <n v="176.6"/>
    <n v="195.5"/>
    <n v="187.2"/>
    <n v="185.2"/>
    <n v="186.9"/>
    <n v="139.12"/>
    <n v="181.9"/>
    <n v="175.5"/>
    <n v="182.3"/>
    <n v="167.5"/>
    <n v="170.8"/>
    <n v="176.9"/>
    <n v="173.4"/>
    <n v="174.6"/>
    <n v="177.8"/>
    <n v="258.76857142857136"/>
    <x v="116"/>
  </r>
  <r>
    <n v="347"/>
    <x v="1"/>
    <x v="9"/>
    <x v="11"/>
    <x v="339"/>
    <n v="168.4"/>
    <n v="213.4"/>
    <n v="183.2"/>
    <n v="172.3"/>
    <n v="180"/>
    <n v="162.6"/>
    <n v="205.5"/>
    <n v="171"/>
    <n v="123.4"/>
    <n v="198.8"/>
    <n v="162.1"/>
    <n v="192.4"/>
    <n v="181.3"/>
    <n v="200.6"/>
    <n v="176.7"/>
    <n v="163.5"/>
    <n v="174.7"/>
    <n v="171.8"/>
    <n v="180.3"/>
    <n v="166.9"/>
    <n v="175.8"/>
    <n v="158.9"/>
    <n v="166.7"/>
    <n v="171.5"/>
    <n v="173.8"/>
    <n v="167.4"/>
    <n v="174.1"/>
    <n v="259.00357142857143"/>
    <x v="116"/>
  </r>
  <r>
    <n v="348"/>
    <x v="2"/>
    <x v="9"/>
    <x v="11"/>
    <x v="340"/>
    <n v="167.4"/>
    <n v="209.4"/>
    <n v="181.4"/>
    <n v="172.3"/>
    <n v="188.9"/>
    <n v="160.69999999999999"/>
    <n v="183.1"/>
    <n v="170.5"/>
    <n v="122.1"/>
    <n v="202.8"/>
    <n v="170.4"/>
    <n v="189.5"/>
    <n v="178.3"/>
    <n v="196.9"/>
    <n v="183.1"/>
    <n v="176.2"/>
    <n v="182.1"/>
    <n v="171.8"/>
    <n v="181.3"/>
    <n v="171.4"/>
    <n v="179.8"/>
    <n v="163"/>
    <n v="168.5"/>
    <n v="173.7"/>
    <n v="173.6"/>
    <n v="171.1"/>
    <n v="176.5"/>
    <n v="259.26785714285717"/>
    <x v="116"/>
  </r>
  <r>
    <n v="349"/>
    <x v="0"/>
    <x v="9"/>
    <x v="12"/>
    <x v="341"/>
    <n v="168.8"/>
    <n v="206.9"/>
    <n v="189.1"/>
    <n v="173.4"/>
    <n v="193.9"/>
    <n v="156.69999999999999"/>
    <n v="150.19999999999999"/>
    <n v="170.5"/>
    <n v="121.2"/>
    <n v="207.5"/>
    <n v="176.8"/>
    <n v="187.7"/>
    <n v="174.4"/>
    <n v="195.9"/>
    <n v="188.1"/>
    <n v="185.9"/>
    <n v="187.8"/>
    <n v="139.12"/>
    <n v="182.8"/>
    <n v="176.4"/>
    <n v="183.5"/>
    <n v="167.8"/>
    <n v="171.2"/>
    <n v="177.3"/>
    <n v="175.7"/>
    <n v="175.5"/>
    <n v="177.1"/>
    <n v="258.36499999999995"/>
    <x v="117"/>
  </r>
  <r>
    <n v="350"/>
    <x v="1"/>
    <x v="9"/>
    <x v="12"/>
    <x v="342"/>
    <n v="170.2"/>
    <n v="212.9"/>
    <n v="191.9"/>
    <n v="173.9"/>
    <n v="179.1"/>
    <n v="159.5"/>
    <n v="178.7"/>
    <n v="171.3"/>
    <n v="123.1"/>
    <n v="200.5"/>
    <n v="162.80000000000001"/>
    <n v="193.3"/>
    <n v="178.6"/>
    <n v="201.1"/>
    <n v="177.7"/>
    <n v="164.5"/>
    <n v="175.7"/>
    <n v="170.7"/>
    <n v="180.6"/>
    <n v="167.3"/>
    <n v="177.2"/>
    <n v="159.4"/>
    <n v="167.1"/>
    <n v="171.8"/>
    <n v="176"/>
    <n v="168.2"/>
    <n v="174.1"/>
    <n v="258.00357142857149"/>
    <x v="117"/>
  </r>
  <r>
    <n v="351"/>
    <x v="2"/>
    <x v="9"/>
    <x v="12"/>
    <x v="343"/>
    <n v="169.2"/>
    <n v="209"/>
    <n v="190.2"/>
    <n v="173.6"/>
    <n v="188.5"/>
    <n v="158"/>
    <n v="159.9"/>
    <n v="170.8"/>
    <n v="121.8"/>
    <n v="205.2"/>
    <n v="171"/>
    <n v="190.3"/>
    <n v="175.9"/>
    <n v="197.3"/>
    <n v="184"/>
    <n v="177"/>
    <n v="183"/>
    <n v="170.7"/>
    <n v="182"/>
    <n v="172.1"/>
    <n v="181.1"/>
    <n v="163.4"/>
    <n v="168.9"/>
    <n v="174.1"/>
    <n v="175.8"/>
    <n v="172"/>
    <n v="175.7"/>
    <n v="258.61428571428576"/>
    <x v="117"/>
  </r>
  <r>
    <n v="352"/>
    <x v="0"/>
    <x v="10"/>
    <x v="0"/>
    <x v="344"/>
    <n v="174"/>
    <n v="208.3"/>
    <n v="192.9"/>
    <n v="174.3"/>
    <n v="192.6"/>
    <n v="156.30000000000001"/>
    <n v="142.9"/>
    <n v="170.7"/>
    <n v="120.3"/>
    <n v="210.5"/>
    <n v="176.9"/>
    <n v="188.5"/>
    <n v="175"/>
    <n v="196.9"/>
    <n v="189"/>
    <n v="186.3"/>
    <n v="188.6"/>
    <n v="139.12"/>
    <n v="183.2"/>
    <n v="177.2"/>
    <n v="184.7"/>
    <n v="168.2"/>
    <n v="171.8"/>
    <n v="177.8"/>
    <n v="178.4"/>
    <n v="176.5"/>
    <n v="177.8"/>
    <n v="259.24357142857144"/>
    <x v="118"/>
  </r>
  <r>
    <n v="353"/>
    <x v="1"/>
    <x v="10"/>
    <x v="0"/>
    <x v="345"/>
    <n v="173.3"/>
    <n v="215.2"/>
    <n v="197"/>
    <n v="175.2"/>
    <n v="178"/>
    <n v="160.5"/>
    <n v="175.3"/>
    <n v="171.2"/>
    <n v="122.7"/>
    <n v="204.3"/>
    <n v="163.69999999999999"/>
    <n v="194.3"/>
    <n v="179.5"/>
    <n v="201.6"/>
    <n v="178.7"/>
    <n v="165.3"/>
    <n v="176.6"/>
    <n v="172.1"/>
    <n v="180.1"/>
    <n v="168"/>
    <n v="178.5"/>
    <n v="159.5"/>
    <n v="167.8"/>
    <n v="171.8"/>
    <n v="178.8"/>
    <n v="168.9"/>
    <n v="174.9"/>
    <n v="259.45000000000005"/>
    <x v="118"/>
  </r>
  <r>
    <n v="354"/>
    <x v="2"/>
    <x v="10"/>
    <x v="0"/>
    <x v="346"/>
    <n v="173.8"/>
    <n v="210.7"/>
    <n v="194.5"/>
    <n v="174.6"/>
    <n v="187.2"/>
    <n v="158.30000000000001"/>
    <n v="153.9"/>
    <n v="170.9"/>
    <n v="121.1"/>
    <n v="208.4"/>
    <n v="171.4"/>
    <n v="191.2"/>
    <n v="176.7"/>
    <n v="198.2"/>
    <n v="184.9"/>
    <n v="177.6"/>
    <n v="183.8"/>
    <n v="172.1"/>
    <n v="182"/>
    <n v="172.9"/>
    <n v="182.3"/>
    <n v="163.6"/>
    <n v="169.5"/>
    <n v="174.3"/>
    <n v="178.6"/>
    <n v="172.8"/>
    <n v="176.5"/>
    <n v="259.7392857142857"/>
    <x v="118"/>
  </r>
  <r>
    <n v="355"/>
    <x v="0"/>
    <x v="10"/>
    <x v="1"/>
    <x v="347"/>
    <n v="174.2"/>
    <n v="205.2"/>
    <n v="173.9"/>
    <n v="177"/>
    <n v="183.4"/>
    <n v="167.2"/>
    <n v="140.9"/>
    <n v="170.4"/>
    <n v="119.1"/>
    <n v="212.1"/>
    <n v="177.6"/>
    <n v="189.9"/>
    <n v="174.8"/>
    <n v="198.3"/>
    <n v="190"/>
    <n v="187"/>
    <n v="189.6"/>
    <n v="139.12"/>
    <n v="181.6"/>
    <n v="178.6"/>
    <n v="186.6"/>
    <n v="169"/>
    <n v="172.8"/>
    <n v="178.5"/>
    <n v="180.7"/>
    <n v="177.9"/>
    <n v="178"/>
    <n v="258.47928571428577"/>
    <x v="119"/>
  </r>
  <r>
    <n v="356"/>
    <x v="1"/>
    <x v="10"/>
    <x v="1"/>
    <x v="348"/>
    <n v="174.7"/>
    <n v="212.2"/>
    <n v="177.2"/>
    <n v="177.9"/>
    <n v="172.2"/>
    <n v="172.1"/>
    <n v="175.8"/>
    <n v="172.2"/>
    <n v="121.9"/>
    <n v="204.8"/>
    <n v="164.9"/>
    <n v="196.6"/>
    <n v="180.7"/>
    <n v="202.7"/>
    <n v="180.3"/>
    <n v="167"/>
    <n v="178.2"/>
    <n v="173.5"/>
    <n v="182.8"/>
    <n v="169.2"/>
    <n v="180.8"/>
    <n v="159.80000000000001"/>
    <n v="168.4"/>
    <n v="172.5"/>
    <n v="181.4"/>
    <n v="170"/>
    <n v="176.3"/>
    <n v="259.71428571428567"/>
    <x v="119"/>
  </r>
  <r>
    <n v="357"/>
    <x v="2"/>
    <x v="10"/>
    <x v="1"/>
    <x v="349"/>
    <n v="174.4"/>
    <n v="207.7"/>
    <n v="175.2"/>
    <n v="177.3"/>
    <n v="179.3"/>
    <n v="169.5"/>
    <n v="152.69999999999999"/>
    <n v="171"/>
    <n v="120"/>
    <n v="209.7"/>
    <n v="172.3"/>
    <n v="193"/>
    <n v="177"/>
    <n v="199.5"/>
    <n v="186.2"/>
    <n v="178.7"/>
    <n v="185.1"/>
    <n v="173.5"/>
    <n v="182.1"/>
    <n v="174.2"/>
    <n v="184.4"/>
    <n v="164.2"/>
    <n v="170.3"/>
    <n v="175"/>
    <n v="181"/>
    <n v="174.1"/>
    <n v="177.2"/>
    <n v="259.39999999999998"/>
    <x v="119"/>
  </r>
  <r>
    <n v="358"/>
    <x v="0"/>
    <x v="10"/>
    <x v="2"/>
    <x v="331"/>
    <n v="174.3"/>
    <n v="205.2"/>
    <n v="173.9"/>
    <n v="177"/>
    <n v="183.3"/>
    <n v="167.2"/>
    <n v="140.9"/>
    <n v="170.5"/>
    <n v="119.1"/>
    <n v="212.1"/>
    <n v="177.6"/>
    <n v="189.9"/>
    <n v="174.8"/>
    <n v="198.4"/>
    <n v="190"/>
    <n v="187"/>
    <n v="189.6"/>
    <n v="139.12"/>
    <n v="181.4"/>
    <n v="178.6"/>
    <n v="186.6"/>
    <n v="169"/>
    <n v="172.8"/>
    <n v="178.5"/>
    <n v="180.7"/>
    <n v="177.9"/>
    <n v="178"/>
    <n v="258.48642857142858"/>
    <x v="120"/>
  </r>
  <r>
    <n v="359"/>
    <x v="1"/>
    <x v="10"/>
    <x v="2"/>
    <x v="333"/>
    <n v="174.7"/>
    <n v="212.2"/>
    <n v="177.2"/>
    <n v="177.9"/>
    <n v="172.2"/>
    <n v="172.1"/>
    <n v="175.9"/>
    <n v="172.2"/>
    <n v="121.9"/>
    <n v="204.8"/>
    <n v="164.9"/>
    <n v="196.6"/>
    <n v="180.8"/>
    <n v="202.7"/>
    <n v="180.2"/>
    <n v="167"/>
    <n v="178.2"/>
    <n v="173.5"/>
    <n v="182.6"/>
    <n v="169.2"/>
    <n v="180.8"/>
    <n v="159.80000000000001"/>
    <n v="168.4"/>
    <n v="172.5"/>
    <n v="181.5"/>
    <n v="170"/>
    <n v="176.3"/>
    <n v="259.72142857142853"/>
    <x v="120"/>
  </r>
  <r>
    <n v="360"/>
    <x v="2"/>
    <x v="10"/>
    <x v="2"/>
    <x v="350"/>
    <n v="174.4"/>
    <n v="207.7"/>
    <n v="175.2"/>
    <n v="177.3"/>
    <n v="179.2"/>
    <n v="169.5"/>
    <n v="152.80000000000001"/>
    <n v="171.1"/>
    <n v="120"/>
    <n v="209.7"/>
    <n v="172.3"/>
    <n v="193"/>
    <n v="177"/>
    <n v="199.5"/>
    <n v="186.1"/>
    <n v="178.7"/>
    <n v="185.1"/>
    <n v="173.5"/>
    <n v="181.9"/>
    <n v="174.2"/>
    <n v="184.4"/>
    <n v="164.2"/>
    <n v="170.3"/>
    <n v="175"/>
    <n v="181"/>
    <n v="174.1"/>
    <n v="177.2"/>
    <n v="259.39642857142854"/>
    <x v="120"/>
  </r>
  <r>
    <n v="361"/>
    <x v="0"/>
    <x v="10"/>
    <x v="3"/>
    <x v="351"/>
    <n v="173.3"/>
    <n v="206.9"/>
    <n v="167.9"/>
    <n v="178.2"/>
    <n v="178.5"/>
    <n v="173.7"/>
    <n v="142.80000000000001"/>
    <n v="172.8"/>
    <n v="120.4"/>
    <n v="215.5"/>
    <n v="178.2"/>
    <n v="190.5"/>
    <n v="175.5"/>
    <n v="199.5"/>
    <n v="190.7"/>
    <n v="187.3"/>
    <n v="190.2"/>
    <n v="139.12"/>
    <n v="181.5"/>
    <n v="179.1"/>
    <n v="187.2"/>
    <n v="169.4"/>
    <n v="173.2"/>
    <n v="179.4"/>
    <n v="183.8"/>
    <n v="178.9"/>
    <n v="178.8"/>
    <n v="259.50071428571425"/>
    <x v="121"/>
  </r>
  <r>
    <n v="362"/>
    <x v="1"/>
    <x v="10"/>
    <x v="3"/>
    <x v="352"/>
    <n v="174.8"/>
    <n v="213.7"/>
    <n v="172.4"/>
    <n v="178.8"/>
    <n v="168.7"/>
    <n v="179.2"/>
    <n v="179.9"/>
    <n v="174.7"/>
    <n v="123.1"/>
    <n v="207.8"/>
    <n v="165.5"/>
    <n v="197"/>
    <n v="182.1"/>
    <n v="203.5"/>
    <n v="181"/>
    <n v="167.7"/>
    <n v="178.9"/>
    <n v="175.2"/>
    <n v="182.1"/>
    <n v="169.6"/>
    <n v="181.5"/>
    <n v="160.1"/>
    <n v="168.8"/>
    <n v="174.2"/>
    <n v="184.4"/>
    <n v="170.9"/>
    <n v="177.4"/>
    <n v="261.22142857142859"/>
    <x v="121"/>
  </r>
  <r>
    <n v="363"/>
    <x v="2"/>
    <x v="10"/>
    <x v="3"/>
    <x v="353"/>
    <n v="173.8"/>
    <n v="209.3"/>
    <n v="169.6"/>
    <n v="178.4"/>
    <n v="174.9"/>
    <n v="176.3"/>
    <n v="155.4"/>
    <n v="173.4"/>
    <n v="121.3"/>
    <n v="212.9"/>
    <n v="172.9"/>
    <n v="193.5"/>
    <n v="177.9"/>
    <n v="200.6"/>
    <n v="186.9"/>
    <n v="179.2"/>
    <n v="185.7"/>
    <n v="175.2"/>
    <n v="181.7"/>
    <n v="174.6"/>
    <n v="185"/>
    <n v="164.5"/>
    <n v="170.7"/>
    <n v="176.4"/>
    <n v="184"/>
    <n v="175"/>
    <n v="178.1"/>
    <n v="260.62142857142857"/>
    <x v="121"/>
  </r>
  <r>
    <n v="364"/>
    <x v="0"/>
    <x v="10"/>
    <x v="4"/>
    <x v="354"/>
    <n v="173.2"/>
    <n v="211.5"/>
    <n v="171"/>
    <n v="179.6"/>
    <n v="173.3"/>
    <n v="169"/>
    <n v="148.69999999999999"/>
    <n v="174.9"/>
    <n v="121.9"/>
    <n v="221"/>
    <n v="178.7"/>
    <n v="191.1"/>
    <n v="176.8"/>
    <n v="199.9"/>
    <n v="191.2"/>
    <n v="187.9"/>
    <n v="190.8"/>
    <n v="139.12"/>
    <n v="182.5"/>
    <n v="179.8"/>
    <n v="187.8"/>
    <n v="169.7"/>
    <n v="173.8"/>
    <n v="180.3"/>
    <n v="184.9"/>
    <n v="179.5"/>
    <n v="179.8"/>
    <n v="261.01142857142861"/>
    <x v="122"/>
  </r>
  <r>
    <n v="365"/>
    <x v="1"/>
    <x v="10"/>
    <x v="4"/>
    <x v="355"/>
    <n v="174.7"/>
    <n v="219.4"/>
    <n v="176.7"/>
    <n v="179.4"/>
    <n v="164.4"/>
    <n v="175.8"/>
    <n v="185"/>
    <n v="176.9"/>
    <n v="124.2"/>
    <n v="211.9"/>
    <n v="165.9"/>
    <n v="197.7"/>
    <n v="183.1"/>
    <n v="204.2"/>
    <n v="181.3"/>
    <n v="168.1"/>
    <n v="179.3"/>
    <n v="175.6"/>
    <n v="183.4"/>
    <n v="170.1"/>
    <n v="182.2"/>
    <n v="160.4"/>
    <n v="169.2"/>
    <n v="174.8"/>
    <n v="185.6"/>
    <n v="171.6"/>
    <n v="178.2"/>
    <n v="262.8"/>
    <x v="122"/>
  </r>
  <r>
    <n v="366"/>
    <x v="2"/>
    <x v="10"/>
    <x v="4"/>
    <x v="356"/>
    <n v="173.7"/>
    <n v="214.3"/>
    <n v="173.2"/>
    <n v="179.5"/>
    <n v="170"/>
    <n v="172.2"/>
    <n v="161"/>
    <n v="175.6"/>
    <n v="122.7"/>
    <n v="218"/>
    <n v="173.4"/>
    <n v="194.2"/>
    <n v="179.1"/>
    <n v="201"/>
    <n v="187.3"/>
    <n v="179.7"/>
    <n v="186.2"/>
    <n v="175.6"/>
    <n v="182.8"/>
    <n v="175.2"/>
    <n v="185.7"/>
    <n v="164.8"/>
    <n v="171.2"/>
    <n v="177.1"/>
    <n v="185.2"/>
    <n v="175.7"/>
    <n v="179.1"/>
    <n v="262.19285714285712"/>
    <x v="1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4D118D-77EE-486B-8F1A-2412E327E6CF}" name="PivotTable1" cacheId="33" dataOnRows="1"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4">
  <location ref="A4:B19" firstHeaderRow="1" firstDataRow="3" firstDataCol="1"/>
  <pivotFields count="34">
    <pivotField showAll="0" defaultSubtotal="0"/>
    <pivotField showAll="0" defaultSubtotal="0"/>
    <pivotField axis="axisCol" showAll="0" defaultSubtotal="0">
      <items count="11">
        <item h="1" x="0"/>
        <item h="1" x="1"/>
        <item h="1" x="2"/>
        <item h="1" x="3"/>
        <item h="1" x="4"/>
        <item h="1" x="5"/>
        <item h="1" x="6"/>
        <item h="1" x="7"/>
        <item h="1" x="8"/>
        <item h="1" x="9"/>
        <item x="10"/>
      </items>
    </pivotField>
    <pivotField axis="axisCol" showAll="0" defaultSubtotal="0">
      <items count="14">
        <item h="1" x="0"/>
        <item h="1" x="1"/>
        <item h="1" x="2"/>
        <item h="1" x="3"/>
        <item x="4"/>
        <item h="1" x="5"/>
        <item h="1" x="6"/>
        <item h="1" x="7"/>
        <item h="1" x="8"/>
        <item h="1" x="9"/>
        <item h="1" x="11"/>
        <item h="1" x="12"/>
        <item h="1" x="13"/>
        <item h="1" x="10"/>
      </items>
    </pivotField>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dataField="1" showAll="0" defaultSubtotal="0"/>
    <pivotField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numFmtId="164" showAll="0" defaultSubtotal="0"/>
    <pivotField showAll="0" defaultSubtotal="0"/>
  </pivotFields>
  <rowFields count="1">
    <field x="-2"/>
  </rowFields>
  <rowItems count="13">
    <i>
      <x/>
    </i>
    <i i="1">
      <x v="1"/>
    </i>
    <i i="2">
      <x v="2"/>
    </i>
    <i i="3">
      <x v="3"/>
    </i>
    <i i="4">
      <x v="4"/>
    </i>
    <i i="5">
      <x v="5"/>
    </i>
    <i i="6">
      <x v="6"/>
    </i>
    <i i="7">
      <x v="7"/>
    </i>
    <i i="8">
      <x v="8"/>
    </i>
    <i i="9">
      <x v="9"/>
    </i>
    <i i="10">
      <x v="10"/>
    </i>
    <i i="11">
      <x v="11"/>
    </i>
    <i i="12">
      <x v="12"/>
    </i>
  </rowItems>
  <colFields count="2">
    <field x="2"/>
    <field x="3"/>
  </colFields>
  <colItems count="1">
    <i>
      <x v="10"/>
      <x v="4"/>
    </i>
  </colItems>
  <dataFields count="13">
    <dataField name="Average of Food" fld="4" subtotal="average" baseField="3" baseItem="4"/>
    <dataField name="Average of Clothing" fld="19" subtotal="average" baseField="3" baseItem="4"/>
    <dataField name="Average of Footwear" fld="20" subtotal="average" baseField="3" baseItem="4"/>
    <dataField name="Average of Housing" fld="22" subtotal="average" baseField="3" baseItem="4"/>
    <dataField name="Average of Fuel and light" fld="23" subtotal="average" baseField="3" baseItem="4"/>
    <dataField name="Average of Household goods and services" fld="24" subtotal="average" baseField="3" baseItem="4"/>
    <dataField name="Average of Health" fld="25" subtotal="average" baseField="3" baseItem="4"/>
    <dataField name="Average of Transport and communication" fld="26" subtotal="average" baseField="3" baseItem="4"/>
    <dataField name="Average of Recreation and amusement" fld="27" subtotal="average" baseField="3" baseItem="4"/>
    <dataField name="Average of Education" fld="28" subtotal="average" baseField="3" baseItem="4"/>
    <dataField name="Average of Personal care and effects" fld="29" subtotal="average" baseField="3" baseItem="4"/>
    <dataField name="Average of Miscellaneous" fld="30" subtotal="average" baseField="3" baseItem="4"/>
    <dataField name="Average of General index" fld="31" subtotal="average" baseField="3" baseItem="4"/>
  </dataFields>
  <formats count="27">
    <format dxfId="15">
      <pivotArea type="origin" dataOnly="0" labelOnly="1" outline="0" fieldPosition="0"/>
    </format>
    <format dxfId="16">
      <pivotArea field="2" type="button" dataOnly="0" labelOnly="1" outline="0" axis="axisCol" fieldPosition="0"/>
    </format>
    <format dxfId="17">
      <pivotArea field="-2" type="button" dataOnly="0" labelOnly="1" outline="0" axis="axisRow" fieldPosition="0"/>
    </format>
    <format dxfId="18">
      <pivotArea dataOnly="0" labelOnly="1" fieldPosition="0">
        <references count="1">
          <reference field="2" count="0"/>
        </references>
      </pivotArea>
    </format>
    <format dxfId="19">
      <pivotArea dataOnly="0" labelOnly="1" fieldPosition="0">
        <references count="2">
          <reference field="2" count="0" selected="0"/>
          <reference field="3" count="0"/>
        </references>
      </pivotArea>
    </format>
    <format dxfId="20">
      <pivotArea type="origin" dataOnly="0" labelOnly="1" outline="0" fieldPosition="0"/>
    </format>
    <format dxfId="21">
      <pivotArea field="2" type="button" dataOnly="0" labelOnly="1" outline="0" axis="axisCol" fieldPosition="0"/>
    </format>
    <format dxfId="22">
      <pivotArea field="-2" type="button" dataOnly="0" labelOnly="1" outline="0" axis="axisRow" fieldPosition="0"/>
    </format>
    <format dxfId="23">
      <pivotArea dataOnly="0" labelOnly="1" fieldPosition="0">
        <references count="1">
          <reference field="2" count="0"/>
        </references>
      </pivotArea>
    </format>
    <format dxfId="24">
      <pivotArea dataOnly="0" labelOnly="1" fieldPosition="0">
        <references count="2">
          <reference field="2" count="0" selected="0"/>
          <reference field="3" count="0"/>
        </references>
      </pivotArea>
    </format>
    <format dxfId="25">
      <pivotArea type="origin" dataOnly="0" labelOnly="1" outline="0" fieldPosition="0"/>
    </format>
    <format dxfId="26">
      <pivotArea field="2" type="button" dataOnly="0" labelOnly="1" outline="0" axis="axisCol" fieldPosition="0"/>
    </format>
    <format dxfId="27">
      <pivotArea field="-2" type="button" dataOnly="0" labelOnly="1" outline="0" axis="axisRow" fieldPosition="0"/>
    </format>
    <format dxfId="28">
      <pivotArea dataOnly="0" labelOnly="1" fieldPosition="0">
        <references count="1">
          <reference field="2" count="0"/>
        </references>
      </pivotArea>
    </format>
    <format dxfId="29">
      <pivotArea dataOnly="0" labelOnly="1" fieldPosition="0">
        <references count="2">
          <reference field="2" count="0" selected="0"/>
          <reference field="3" count="0"/>
        </references>
      </pivotArea>
    </format>
    <format dxfId="30">
      <pivotArea collapsedLevelsAreSubtotals="1" fieldPosition="0">
        <references count="1">
          <reference field="4294967294" count="1">
            <x v="0"/>
          </reference>
        </references>
      </pivotArea>
    </format>
    <format dxfId="31">
      <pivotArea collapsedLevelsAreSubtotals="1" fieldPosition="0">
        <references count="1">
          <reference field="4294967294" count="1">
            <x v="1"/>
          </reference>
        </references>
      </pivotArea>
    </format>
    <format dxfId="32">
      <pivotArea collapsedLevelsAreSubtotals="1" fieldPosition="0">
        <references count="1">
          <reference field="4294967294" count="1">
            <x v="2"/>
          </reference>
        </references>
      </pivotArea>
    </format>
    <format dxfId="33">
      <pivotArea collapsedLevelsAreSubtotals="1" fieldPosition="0">
        <references count="1">
          <reference field="4294967294" count="1">
            <x v="4"/>
          </reference>
        </references>
      </pivotArea>
    </format>
    <format dxfId="34">
      <pivotArea collapsedLevelsAreSubtotals="1" fieldPosition="0">
        <references count="1">
          <reference field="4294967294" count="1">
            <x v="5"/>
          </reference>
        </references>
      </pivotArea>
    </format>
    <format dxfId="35">
      <pivotArea collapsedLevelsAreSubtotals="1" fieldPosition="0">
        <references count="1">
          <reference field="4294967294" count="1">
            <x v="6"/>
          </reference>
        </references>
      </pivotArea>
    </format>
    <format dxfId="36">
      <pivotArea collapsedLevelsAreSubtotals="1" fieldPosition="0">
        <references count="1">
          <reference field="4294967294" count="1">
            <x v="7"/>
          </reference>
        </references>
      </pivotArea>
    </format>
    <format dxfId="37">
      <pivotArea collapsedLevelsAreSubtotals="1" fieldPosition="0">
        <references count="1">
          <reference field="4294967294" count="1">
            <x v="8"/>
          </reference>
        </references>
      </pivotArea>
    </format>
    <format dxfId="38">
      <pivotArea collapsedLevelsAreSubtotals="1" fieldPosition="0">
        <references count="1">
          <reference field="4294967294" count="1">
            <x v="9"/>
          </reference>
        </references>
      </pivotArea>
    </format>
    <format dxfId="39">
      <pivotArea collapsedLevelsAreSubtotals="1" fieldPosition="0">
        <references count="1">
          <reference field="4294967294" count="1">
            <x v="11"/>
          </reference>
        </references>
      </pivotArea>
    </format>
    <format dxfId="40">
      <pivotArea collapsedLevelsAreSubtotals="1" fieldPosition="0">
        <references count="1">
          <reference field="4294967294" count="1">
            <x v="10"/>
          </reference>
        </references>
      </pivotArea>
    </format>
    <format dxfId="41">
      <pivotArea collapsedLevelsAreSubtotals="1" fieldPosition="0">
        <references count="1">
          <reference field="4294967294" count="1">
            <x v="12"/>
          </reference>
        </references>
      </pivotArea>
    </format>
  </formats>
  <chartFormats count="14">
    <chartFormat chart="3" format="0" series="1">
      <pivotArea type="data" outline="0" fieldPosition="0">
        <references count="1">
          <reference field="4294967294" count="1" selected="0">
            <x v="0"/>
          </reference>
        </references>
      </pivotArea>
    </chartFormat>
    <chartFormat chart="3" format="1">
      <pivotArea type="data" outline="0" fieldPosition="0">
        <references count="1">
          <reference field="4294967294" count="1" selected="0">
            <x v="0"/>
          </reference>
        </references>
      </pivotArea>
    </chartFormat>
    <chartFormat chart="3" format="2">
      <pivotArea type="data" outline="0" fieldPosition="0">
        <references count="1">
          <reference field="4294967294" count="1" selected="0">
            <x v="1"/>
          </reference>
        </references>
      </pivotArea>
    </chartFormat>
    <chartFormat chart="3" format="3">
      <pivotArea type="data" outline="0" fieldPosition="0">
        <references count="1">
          <reference field="4294967294" count="1" selected="0">
            <x v="2"/>
          </reference>
        </references>
      </pivotArea>
    </chartFormat>
    <chartFormat chart="3" format="4">
      <pivotArea type="data" outline="0" fieldPosition="0">
        <references count="1">
          <reference field="4294967294" count="1" selected="0">
            <x v="3"/>
          </reference>
        </references>
      </pivotArea>
    </chartFormat>
    <chartFormat chart="3" format="5">
      <pivotArea type="data" outline="0" fieldPosition="0">
        <references count="1">
          <reference field="4294967294" count="1" selected="0">
            <x v="4"/>
          </reference>
        </references>
      </pivotArea>
    </chartFormat>
    <chartFormat chart="3" format="6">
      <pivotArea type="data" outline="0" fieldPosition="0">
        <references count="1">
          <reference field="4294967294" count="1" selected="0">
            <x v="5"/>
          </reference>
        </references>
      </pivotArea>
    </chartFormat>
    <chartFormat chart="3" format="7">
      <pivotArea type="data" outline="0" fieldPosition="0">
        <references count="1">
          <reference field="4294967294" count="1" selected="0">
            <x v="6"/>
          </reference>
        </references>
      </pivotArea>
    </chartFormat>
    <chartFormat chart="3" format="8">
      <pivotArea type="data" outline="0" fieldPosition="0">
        <references count="1">
          <reference field="4294967294" count="1" selected="0">
            <x v="7"/>
          </reference>
        </references>
      </pivotArea>
    </chartFormat>
    <chartFormat chart="3" format="9">
      <pivotArea type="data" outline="0" fieldPosition="0">
        <references count="1">
          <reference field="4294967294" count="1" selected="0">
            <x v="8"/>
          </reference>
        </references>
      </pivotArea>
    </chartFormat>
    <chartFormat chart="3" format="10">
      <pivotArea type="data" outline="0" fieldPosition="0">
        <references count="1">
          <reference field="4294967294" count="1" selected="0">
            <x v="9"/>
          </reference>
        </references>
      </pivotArea>
    </chartFormat>
    <chartFormat chart="3" format="11">
      <pivotArea type="data" outline="0" fieldPosition="0">
        <references count="1">
          <reference field="4294967294" count="1" selected="0">
            <x v="10"/>
          </reference>
        </references>
      </pivotArea>
    </chartFormat>
    <chartFormat chart="3" format="12">
      <pivotArea type="data" outline="0" fieldPosition="0">
        <references count="1">
          <reference field="4294967294" count="1" selected="0">
            <x v="11"/>
          </reference>
        </references>
      </pivotArea>
    </chartFormat>
    <chartFormat chart="3" format="13">
      <pivotArea type="data" outline="0" fieldPosition="0">
        <references count="1">
          <reference field="429496729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7D17A4-ECE4-41CC-8675-7BA439130D21}" name="PivotTable2" cacheId="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12" firstHeaderRow="1" firstDataRow="1" firstDataCol="1" rowPageCount="1" colPageCount="1"/>
  <pivotFields count="34">
    <pivotField showAll="0"/>
    <pivotField axis="axisPage" showAll="0">
      <items count="4">
        <item x="0"/>
        <item x="2"/>
        <item x="1"/>
        <item t="default"/>
      </items>
    </pivotField>
    <pivotField axis="axisRow" showAll="0">
      <items count="12">
        <item h="1" x="0"/>
        <item h="1" x="1"/>
        <item h="1"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s>
  <rowFields count="1">
    <field x="2"/>
  </rowFields>
  <rowItems count="9">
    <i>
      <x v="3"/>
    </i>
    <i>
      <x v="4"/>
    </i>
    <i>
      <x v="5"/>
    </i>
    <i>
      <x v="6"/>
    </i>
    <i>
      <x v="7"/>
    </i>
    <i>
      <x v="8"/>
    </i>
    <i>
      <x v="9"/>
    </i>
    <i>
      <x v="10"/>
    </i>
    <i t="grand">
      <x/>
    </i>
  </rowItems>
  <colItems count="1">
    <i/>
  </colItems>
  <pageFields count="1">
    <pageField fld="1" item="1" hier="-1"/>
  </pageFields>
  <dataFields count="1">
    <dataField name="Average of Inflation Rate" fld="32" subtotal="average" baseField="2"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A60607-92A8-4787-B6FC-46C7E5FB38FA}" name="PivotTable3" cacheId="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7" firstHeaderRow="1" firstDataRow="1" firstDataCol="1"/>
  <pivotFields count="34">
    <pivotField showAll="0"/>
    <pivotField showAll="0"/>
    <pivotField multipleItemSelectionAllowed="1" showAll="0"/>
    <pivotField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124">
        <item h="1" x="15"/>
        <item h="1" x="0"/>
        <item h="1" x="1"/>
        <item h="1" x="2"/>
        <item h="1" x="3"/>
        <item h="1" x="4"/>
        <item h="1" x="5"/>
        <item h="1" x="6"/>
        <item h="1" x="7"/>
        <item h="1" x="8"/>
        <item h="1" x="9"/>
        <item h="1" x="10"/>
        <item h="1" x="11"/>
        <item h="1" x="12"/>
        <item h="1" x="13"/>
        <item h="1" x="14"/>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x="110"/>
        <item x="111"/>
        <item x="112"/>
        <item x="113"/>
        <item x="114"/>
        <item x="115"/>
        <item x="116"/>
        <item x="117"/>
        <item x="118"/>
        <item x="119"/>
        <item x="120"/>
        <item x="121"/>
        <item x="122"/>
        <item t="default"/>
      </items>
    </pivotField>
  </pivotFields>
  <rowFields count="1">
    <field x="33"/>
  </rowFields>
  <rowItems count="14">
    <i>
      <x v="110"/>
    </i>
    <i>
      <x v="111"/>
    </i>
    <i>
      <x v="112"/>
    </i>
    <i>
      <x v="113"/>
    </i>
    <i>
      <x v="114"/>
    </i>
    <i>
      <x v="115"/>
    </i>
    <i>
      <x v="116"/>
    </i>
    <i>
      <x v="117"/>
    </i>
    <i>
      <x v="118"/>
    </i>
    <i>
      <x v="119"/>
    </i>
    <i>
      <x v="120"/>
    </i>
    <i>
      <x v="121"/>
    </i>
    <i>
      <x v="122"/>
    </i>
    <i t="grand">
      <x/>
    </i>
  </rowItems>
  <colItems count="1">
    <i/>
  </colItems>
  <dataFields count="1">
    <dataField name="Average of Food" fld="4" subtotal="average" baseField="3" baseItem="0" numFmtId="164"/>
  </dataFields>
  <formats count="6">
    <format dxfId="11">
      <pivotArea outline="0" collapsedLevelsAreSubtotals="1" fieldPosition="0"/>
    </format>
    <format dxfId="12">
      <pivotArea dataOnly="0" labelOnly="1" fieldPosition="0">
        <references count="1">
          <reference field="33" count="0"/>
        </references>
      </pivotArea>
    </format>
    <format dxfId="13">
      <pivotArea dataOnly="0" labelOnly="1" fieldPosition="0">
        <references count="1">
          <reference field="33" count="1">
            <x v="122"/>
          </reference>
        </references>
      </pivotArea>
    </format>
    <format dxfId="14">
      <pivotArea dataOnly="0" labelOnly="1" fieldPosition="0">
        <references count="1">
          <reference field="33" count="1">
            <x v="111"/>
          </reference>
        </references>
      </pivotArea>
    </format>
    <format dxfId="4">
      <pivotArea dataOnly="0" labelOnly="1" fieldPosition="0">
        <references count="1">
          <reference field="33" count="1">
            <x v="111"/>
          </reference>
        </references>
      </pivotArea>
    </format>
    <format dxfId="3">
      <pivotArea dataOnly="0" labelOnly="1" fieldPosition="0">
        <references count="1">
          <reference field="33" count="1">
            <x v="12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804F2D-FA3C-4961-9841-F6D1774B51B0}" name="PivotTable4" cacheId="33"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A3:O16" firstHeaderRow="0" firstDataRow="1" firstDataCol="1"/>
  <pivotFields count="34">
    <pivotField showAll="0"/>
    <pivotField showAll="0"/>
    <pivotField showAll="0"/>
    <pivotField showAll="0"/>
    <pivotField numFmtId="164"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defaultSubtotal="0">
      <items count="123">
        <item h="1" x="15"/>
        <item h="1" x="0"/>
        <item h="1" x="1"/>
        <item h="1" x="2"/>
        <item h="1" x="3"/>
        <item h="1" x="4"/>
        <item h="1" x="5"/>
        <item h="1" x="6"/>
        <item h="1" x="7"/>
        <item h="1" x="8"/>
        <item h="1" x="9"/>
        <item h="1" x="10"/>
        <item h="1" x="11"/>
        <item h="1" x="12"/>
        <item h="1" x="13"/>
        <item h="1" x="14"/>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x="110"/>
        <item x="111"/>
        <item x="112"/>
        <item x="113"/>
        <item x="114"/>
        <item x="115"/>
        <item x="116"/>
        <item x="117"/>
        <item x="118"/>
        <item x="119"/>
        <item x="120"/>
        <item x="121"/>
        <item x="122"/>
      </items>
    </pivotField>
  </pivotFields>
  <rowFields count="1">
    <field x="33"/>
  </rowFields>
  <rowItems count="13">
    <i>
      <x v="110"/>
    </i>
    <i>
      <x v="111"/>
    </i>
    <i>
      <x v="112"/>
    </i>
    <i>
      <x v="113"/>
    </i>
    <i>
      <x v="114"/>
    </i>
    <i>
      <x v="115"/>
    </i>
    <i>
      <x v="116"/>
    </i>
    <i>
      <x v="117"/>
    </i>
    <i>
      <x v="118"/>
    </i>
    <i>
      <x v="119"/>
    </i>
    <i>
      <x v="120"/>
    </i>
    <i>
      <x v="121"/>
    </i>
    <i>
      <x v="122"/>
    </i>
  </rowItems>
  <colFields count="1">
    <field x="-2"/>
  </colFields>
  <colItems count="14">
    <i>
      <x/>
    </i>
    <i i="1">
      <x v="1"/>
    </i>
    <i i="2">
      <x v="2"/>
    </i>
    <i i="3">
      <x v="3"/>
    </i>
    <i i="4">
      <x v="4"/>
    </i>
    <i i="5">
      <x v="5"/>
    </i>
    <i i="6">
      <x v="6"/>
    </i>
    <i i="7">
      <x v="7"/>
    </i>
    <i i="8">
      <x v="8"/>
    </i>
    <i i="9">
      <x v="9"/>
    </i>
    <i i="10">
      <x v="10"/>
    </i>
    <i i="11">
      <x v="11"/>
    </i>
    <i i="12">
      <x v="12"/>
    </i>
    <i i="13">
      <x v="13"/>
    </i>
  </colItems>
  <dataFields count="14">
    <dataField name="Average of Cereals and products" fld="5" subtotal="average" showDataAs="difference" baseField="33" baseItem="1048828"/>
    <dataField name="Average of Meat and fish" fld="6" subtotal="average" showDataAs="difference" baseField="33" baseItem="1048828"/>
    <dataField name="Average of Egg" fld="7" subtotal="average" showDataAs="difference" baseField="33" baseItem="1048828"/>
    <dataField name="Average of Milk and products" fld="8" subtotal="average" showDataAs="difference" baseField="33" baseItem="1048828"/>
    <dataField name="Average of Oils and fats" fld="9" subtotal="average" showDataAs="difference" baseField="33" baseItem="1048828"/>
    <dataField name="Average of Fruits" fld="10" subtotal="average" showDataAs="difference" baseField="33" baseItem="1048828"/>
    <dataField name="Average of Vegetables" fld="11" subtotal="average" showDataAs="difference" baseField="33" baseItem="1048828"/>
    <dataField name="Average of Pulses and products" fld="12" subtotal="average" showDataAs="difference" baseField="33" baseItem="1048828"/>
    <dataField name="Average of Sugar and Confectionery" fld="13" subtotal="average" showDataAs="difference" baseField="33" baseItem="1048828"/>
    <dataField name="Average of Spices" fld="14" subtotal="average" showDataAs="difference" baseField="33" baseItem="1048828"/>
    <dataField name="Average of Non-alcoholic beverages" fld="15" subtotal="average" showDataAs="difference" baseField="33" baseItem="1048828"/>
    <dataField name="Average of Prepared meals, snacks, sweets etc." fld="16" subtotal="average" showDataAs="difference" baseField="33" baseItem="1048828"/>
    <dataField name="Average of Food and beverages" fld="17" subtotal="average" showDataAs="difference" baseField="33" baseItem="1048828"/>
    <dataField name="Average of Pan, tobacco and intoxicants" fld="18" subtotal="average" showDataAs="difference" baseField="33" baseItem="1048828"/>
  </dataFields>
  <formats count="5">
    <format dxfId="6">
      <pivotArea outline="0" collapsedLevelsAreSubtotals="1" fieldPosition="0"/>
    </format>
    <format dxfId="7">
      <pivotArea dataOnly="0" labelOnly="1" fieldPosition="0">
        <references count="1">
          <reference field="33" count="1">
            <x v="1"/>
          </reference>
        </references>
      </pivotArea>
    </format>
    <format dxfId="8">
      <pivotArea dataOnly="0" labelOnly="1" fieldPosition="0">
        <references count="1">
          <reference field="33"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9">
      <pivotArea dataOnly="0" labelOnly="1" fieldPosition="0">
        <references count="1">
          <reference field="33"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10">
      <pivotArea dataOnly="0" labelOnly="1" fieldPosition="0">
        <references count="1">
          <reference field="33" count="21">
            <x v="102"/>
            <x v="103"/>
            <x v="104"/>
            <x v="105"/>
            <x v="106"/>
            <x v="107"/>
            <x v="108"/>
            <x v="109"/>
            <x v="110"/>
            <x v="111"/>
            <x v="112"/>
            <x v="113"/>
            <x v="114"/>
            <x v="115"/>
            <x v="116"/>
            <x v="117"/>
            <x v="118"/>
            <x v="119"/>
            <x v="120"/>
            <x v="121"/>
            <x v="12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DA06EB-A785-49C9-93B7-C9227380F05C}" name="PivotTable5" cacheId="33"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O28" firstHeaderRow="0" firstDataRow="1" firstDataCol="1"/>
  <pivotFields count="34">
    <pivotField showAll="0"/>
    <pivotField showAll="0"/>
    <pivotField showAll="0"/>
    <pivotField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164" showAll="0"/>
    <pivotField axis="axisRow" showAll="0">
      <items count="124">
        <item h="1" x="15"/>
        <item h="1" x="0"/>
        <item h="1" x="1"/>
        <item h="1" x="2"/>
        <item h="1" x="3"/>
        <item h="1" x="4"/>
        <item h="1" x="5"/>
        <item h="1" x="6"/>
        <item h="1" x="7"/>
        <item h="1" x="8"/>
        <item h="1" x="9"/>
        <item h="1" x="10"/>
        <item h="1" x="11"/>
        <item h="1" x="12"/>
        <item h="1" x="13"/>
        <item h="1" x="14"/>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x="74"/>
        <item x="75"/>
        <item x="76"/>
        <item x="77"/>
        <item x="78"/>
        <item x="79"/>
        <item x="80"/>
        <item x="81"/>
        <item x="82"/>
        <item x="83"/>
        <item x="84"/>
        <item x="85"/>
        <item x="86"/>
        <item x="87"/>
        <item x="88"/>
        <item x="89"/>
        <item x="90"/>
        <item x="91"/>
        <item x="92"/>
        <item x="93"/>
        <item x="94"/>
        <item x="95"/>
        <item x="96"/>
        <item x="97"/>
        <item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t="default"/>
      </items>
    </pivotField>
  </pivotFields>
  <rowFields count="1">
    <field x="33"/>
  </rowFields>
  <rowItems count="25">
    <i>
      <x v="74"/>
    </i>
    <i>
      <x v="75"/>
    </i>
    <i>
      <x v="76"/>
    </i>
    <i>
      <x v="77"/>
    </i>
    <i>
      <x v="78"/>
    </i>
    <i>
      <x v="79"/>
    </i>
    <i>
      <x v="80"/>
    </i>
    <i>
      <x v="81"/>
    </i>
    <i>
      <x v="82"/>
    </i>
    <i>
      <x v="83"/>
    </i>
    <i>
      <x v="84"/>
    </i>
    <i>
      <x v="85"/>
    </i>
    <i>
      <x v="86"/>
    </i>
    <i>
      <x v="87"/>
    </i>
    <i>
      <x v="88"/>
    </i>
    <i>
      <x v="89"/>
    </i>
    <i>
      <x v="90"/>
    </i>
    <i>
      <x v="91"/>
    </i>
    <i>
      <x v="92"/>
    </i>
    <i>
      <x v="93"/>
    </i>
    <i>
      <x v="94"/>
    </i>
    <i>
      <x v="95"/>
    </i>
    <i>
      <x v="96"/>
    </i>
    <i>
      <x v="97"/>
    </i>
    <i>
      <x v="98"/>
    </i>
  </rowItems>
  <colFields count="1">
    <field x="-2"/>
  </colFields>
  <colItems count="14">
    <i>
      <x/>
    </i>
    <i i="1">
      <x v="1"/>
    </i>
    <i i="2">
      <x v="2"/>
    </i>
    <i i="3">
      <x v="3"/>
    </i>
    <i i="4">
      <x v="4"/>
    </i>
    <i i="5">
      <x v="5"/>
    </i>
    <i i="6">
      <x v="6"/>
    </i>
    <i i="7">
      <x v="7"/>
    </i>
    <i i="8">
      <x v="8"/>
    </i>
    <i i="9">
      <x v="9"/>
    </i>
    <i i="10">
      <x v="10"/>
    </i>
    <i i="11">
      <x v="11"/>
    </i>
    <i i="12">
      <x v="12"/>
    </i>
    <i i="13">
      <x v="13"/>
    </i>
  </colItems>
  <dataFields count="14">
    <dataField name="Average of Inflation Rate" fld="32" subtotal="average" baseField="33" baseItem="82" numFmtId="164"/>
    <dataField name="Average of Food" fld="4" subtotal="average" baseField="33" baseItem="82"/>
    <dataField name="Average of Health" fld="25" subtotal="average" baseField="33" baseItem="82"/>
    <dataField name="Average of Clothing" fld="19" subtotal="average" baseField="33" baseItem="82"/>
    <dataField name="Average of Footwear" fld="20" subtotal="average" baseField="33" baseItem="82"/>
    <dataField name="Average of Housing" fld="22" subtotal="average" baseField="33" baseItem="82"/>
    <dataField name="Average of Fuel and light" fld="23" subtotal="average" baseField="33" baseItem="82"/>
    <dataField name="Average of Household goods and services" fld="24" subtotal="average" baseField="33" baseItem="82"/>
    <dataField name="Average of Transport and communication" fld="26" subtotal="average" baseField="33" baseItem="82"/>
    <dataField name="Average of Recreation and amusement" fld="27" subtotal="average" baseField="33" baseItem="82"/>
    <dataField name="Average of Education" fld="28" subtotal="average" baseField="33" baseItem="82"/>
    <dataField name="Average of Personal care and effects" fld="29" subtotal="average" baseField="33" baseItem="82"/>
    <dataField name="Average of Miscellaneous" fld="30" subtotal="average" baseField="33" baseItem="82"/>
    <dataField name="Average of General index" fld="31" subtotal="average" baseField="33" baseItem="82"/>
  </dataFields>
  <formats count="3">
    <format dxfId="0">
      <pivotArea outline="0" collapsedLevelsAreSubtotals="1" fieldPosition="0"/>
    </format>
    <format dxfId="1">
      <pivotArea dataOnly="0" labelOnly="1" fieldPosition="0">
        <references count="1">
          <reference field="33" count="0"/>
        </references>
      </pivotArea>
    </format>
    <format dxfId="2">
      <pivotArea dataOnly="0" labelOnly="1" fieldPosition="0">
        <references count="1">
          <reference field="33" count="1">
            <x v="86"/>
          </reference>
        </references>
      </pivotArea>
    </format>
  </formats>
  <chartFormats count="1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 chart="2" format="6" series="1">
      <pivotArea type="data" outline="0" fieldPosition="0">
        <references count="1">
          <reference field="4294967294" count="1" selected="0">
            <x v="6"/>
          </reference>
        </references>
      </pivotArea>
    </chartFormat>
    <chartFormat chart="2" format="7" series="1">
      <pivotArea type="data" outline="0" fieldPosition="0">
        <references count="1">
          <reference field="4294967294" count="1" selected="0">
            <x v="7"/>
          </reference>
        </references>
      </pivotArea>
    </chartFormat>
    <chartFormat chart="2" format="8" series="1">
      <pivotArea type="data" outline="0" fieldPosition="0">
        <references count="1">
          <reference field="4294967294" count="1" selected="0">
            <x v="8"/>
          </reference>
        </references>
      </pivotArea>
    </chartFormat>
    <chartFormat chart="2" format="9" series="1">
      <pivotArea type="data" outline="0" fieldPosition="0">
        <references count="1">
          <reference field="4294967294" count="1" selected="0">
            <x v="9"/>
          </reference>
        </references>
      </pivotArea>
    </chartFormat>
    <chartFormat chart="2" format="10" series="1">
      <pivotArea type="data" outline="0" fieldPosition="0">
        <references count="1">
          <reference field="4294967294" count="1" selected="0">
            <x v="10"/>
          </reference>
        </references>
      </pivotArea>
    </chartFormat>
    <chartFormat chart="2" format="11" series="1">
      <pivotArea type="data" outline="0" fieldPosition="0">
        <references count="1">
          <reference field="4294967294" count="1" selected="0">
            <x v="11"/>
          </reference>
        </references>
      </pivotArea>
    </chartFormat>
    <chartFormat chart="2" format="12" series="1">
      <pivotArea type="data" outline="0" fieldPosition="0">
        <references count="1">
          <reference field="4294967294" count="1" selected="0">
            <x v="12"/>
          </reference>
        </references>
      </pivotArea>
    </chartFormat>
    <chartFormat chart="2" format="13" series="1">
      <pivotArea type="data" outline="0" fieldPosition="0">
        <references count="1">
          <reference field="4294967294"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B80E67-0075-4122-9F78-637C60CFD4F4}" name="PivotTable7" cacheId="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N36" firstHeaderRow="0" firstDataRow="1" firstDataCol="1"/>
  <pivotFields count="34">
    <pivotField showAll="0"/>
    <pivotField showAll="0"/>
    <pivotField axis="axisRow" showAll="0">
      <items count="12">
        <item h="1" x="0"/>
        <item h="1" x="1"/>
        <item h="1" x="2"/>
        <item h="1" x="3"/>
        <item h="1" x="4"/>
        <item h="1" x="5"/>
        <item h="1" x="6"/>
        <item h="1" x="7"/>
        <item x="8"/>
        <item x="9"/>
        <item x="10"/>
        <item t="default"/>
      </items>
    </pivotField>
    <pivotField axis="axisRow" showAll="0">
      <items count="15">
        <item x="0"/>
        <item x="1"/>
        <item x="2"/>
        <item x="3"/>
        <item x="4"/>
        <item x="5"/>
        <item x="6"/>
        <item x="7"/>
        <item x="8"/>
        <item x="9"/>
        <item x="11"/>
        <item x="12"/>
        <item x="13"/>
        <item x="10"/>
        <item t="default"/>
      </items>
    </pivotField>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numFmtId="164" showAll="0"/>
    <pivotField showAll="0"/>
  </pivotFields>
  <rowFields count="2">
    <field x="2"/>
    <field x="3"/>
  </rowFields>
  <rowItems count="33">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13">
    <i>
      <x/>
    </i>
    <i i="1">
      <x v="1"/>
    </i>
    <i i="2">
      <x v="2"/>
    </i>
    <i i="3">
      <x v="3"/>
    </i>
    <i i="4">
      <x v="4"/>
    </i>
    <i i="5">
      <x v="5"/>
    </i>
    <i i="6">
      <x v="6"/>
    </i>
    <i i="7">
      <x v="7"/>
    </i>
    <i i="8">
      <x v="8"/>
    </i>
    <i i="9">
      <x v="9"/>
    </i>
    <i i="10">
      <x v="10"/>
    </i>
    <i i="11">
      <x v="11"/>
    </i>
    <i i="12">
      <x v="12"/>
    </i>
  </colItems>
  <dataFields count="13">
    <dataField name="Average of Fuel and light" fld="23" subtotal="average" baseField="2" baseItem="8" numFmtId="164"/>
    <dataField name="Average of Food" fld="4" subtotal="average" baseField="3" baseItem="0"/>
    <dataField name="Average of Clothing" fld="19" subtotal="average" baseField="3" baseItem="0"/>
    <dataField name="Average of Footwear" fld="20" subtotal="average" baseField="3" baseItem="0"/>
    <dataField name="Average of Housing" fld="22" subtotal="average" baseField="3" baseItem="0"/>
    <dataField name="Average of Health" fld="25" subtotal="average" baseField="3" baseItem="0"/>
    <dataField name="Average of Transport and communication" fld="26" subtotal="average" baseField="3" baseItem="0"/>
    <dataField name="Average of Recreation and amusement" fld="27" subtotal="average" baseField="3" baseItem="0"/>
    <dataField name="Average of Education" fld="28" subtotal="average" baseField="3" baseItem="0"/>
    <dataField name="Average of Personal care and effects" fld="29" subtotal="average" baseField="3" baseItem="0"/>
    <dataField name="Average of Miscellaneous" fld="30" subtotal="average" baseField="3" baseItem="0"/>
    <dataField name="Average of General index" fld="31" subtotal="average" baseField="3" baseItem="0"/>
    <dataField name="Average of Household goods and services" fld="24" subtotal="average" baseField="3"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453330-720E-4E33-930A-1B9E5F539ED2}" autoFormatId="16" applyNumberFormats="0" applyBorderFormats="0" applyFontFormats="0" applyPatternFormats="0" applyAlignmentFormats="0" applyWidthHeightFormats="0">
  <queryTableRefresh nextId="89" unboundColumnsRight="2">
    <queryTableFields count="34">
      <queryTableField id="52" name="Index" tableColumnId="38"/>
      <queryTableField id="53" name="Sector" tableColumnId="39"/>
      <queryTableField id="54" name="Year" tableColumnId="40"/>
      <queryTableField id="55" name="Month" tableColumnId="41"/>
      <queryTableField id="51" name="Food" tableColumnId="37"/>
      <queryTableField id="56" name="Cereals and products" tableColumnId="42"/>
      <queryTableField id="57" name="Meat and fish" tableColumnId="43"/>
      <queryTableField id="58" name="Egg" tableColumnId="44"/>
      <queryTableField id="59" name="Milk and products" tableColumnId="45"/>
      <queryTableField id="60" name="Oils and fats" tableColumnId="46"/>
      <queryTableField id="61" name="Fruits" tableColumnId="47"/>
      <queryTableField id="62" name="Vegetables" tableColumnId="48"/>
      <queryTableField id="63" name="Pulses and products" tableColumnId="49"/>
      <queryTableField id="64" name="Sugar and Confectionery" tableColumnId="50"/>
      <queryTableField id="65" name="Spices" tableColumnId="51"/>
      <queryTableField id="66" name="Non-alcoholic beverages" tableColumnId="52"/>
      <queryTableField id="67" name="Prepared meals, snacks, sweets etc." tableColumnId="53"/>
      <queryTableField id="68" name="Food and beverages" tableColumnId="54"/>
      <queryTableField id="69" name="Pan, tobacco and intoxicants" tableColumnId="55"/>
      <queryTableField id="70" name="Clothing" tableColumnId="56"/>
      <queryTableField id="71" name="Footwear" tableColumnId="57"/>
      <queryTableField id="72" name="Clothing and footwear" tableColumnId="58"/>
      <queryTableField id="73" name="Housing" tableColumnId="59"/>
      <queryTableField id="74" name="Fuel and light" tableColumnId="60"/>
      <queryTableField id="75" name="Household goods and services" tableColumnId="61"/>
      <queryTableField id="76" name="Health" tableColumnId="62"/>
      <queryTableField id="77" name="Transport and communication" tableColumnId="63"/>
      <queryTableField id="78" name="Recreation and amusement" tableColumnId="64"/>
      <queryTableField id="79" name="Education" tableColumnId="65"/>
      <queryTableField id="80" name="Personal care and effects" tableColumnId="66"/>
      <queryTableField id="81" name="Miscellaneous" tableColumnId="67"/>
      <queryTableField id="82" name="General index" tableColumnId="68"/>
      <queryTableField id="87" dataBound="0" tableColumnId="69"/>
      <queryTableField id="88" dataBound="0" tableColumnId="7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83222D-AFB0-4FA6-AA75-E3A7361C7480}" name="All_India_Index_Upto_April23" displayName="All_India_Index_Upto_April23" ref="A1:AH367" tableType="queryTable" totalsRowShown="0">
  <autoFilter ref="A1:AH367" xr:uid="{3483222D-AFB0-4FA6-AA75-E3A7361C7480}"/>
  <tableColumns count="34">
    <tableColumn id="38" xr3:uid="{CB48161C-2531-403A-9C3A-5B0AFEF853BF}" uniqueName="38" name="Index" queryTableFieldId="52"/>
    <tableColumn id="39" xr3:uid="{14C2C703-29DB-423F-AB9E-AF42AC1DC6BC}" uniqueName="39" name="Sector" queryTableFieldId="53" dataDxfId="47"/>
    <tableColumn id="40" xr3:uid="{61E5CB62-33FB-4D47-A4FB-128372CE1BC8}" uniqueName="40" name="Year" queryTableFieldId="54"/>
    <tableColumn id="41" xr3:uid="{5CB01423-1FE1-4981-87C6-8780AEE52A78}" uniqueName="41" name="Month" queryTableFieldId="55" dataDxfId="46"/>
    <tableColumn id="37" xr3:uid="{052110EF-1AAA-4A6B-9611-9564209FBB96}" uniqueName="37" name="Food" queryTableFieldId="51" dataDxfId="45"/>
    <tableColumn id="42" xr3:uid="{8138988B-8F60-4F2F-B6C5-D7165DAE1578}" uniqueName="42" name="Cereals and products" queryTableFieldId="56"/>
    <tableColumn id="43" xr3:uid="{D37197B0-F692-44A8-A8BA-486D7417CFE6}" uniqueName="43" name="Meat and fish" queryTableFieldId="57"/>
    <tableColumn id="44" xr3:uid="{5F47FEA5-7782-4A44-8321-D7B94DED40AE}" uniqueName="44" name="Egg" queryTableFieldId="58"/>
    <tableColumn id="45" xr3:uid="{B6E599B9-4FC1-4EAC-8F9C-9AD261E2A132}" uniqueName="45" name="Milk and products" queryTableFieldId="59"/>
    <tableColumn id="46" xr3:uid="{E0AA84FF-CD70-41BD-9143-3BDA80B10A06}" uniqueName="46" name="Oils and fats" queryTableFieldId="60"/>
    <tableColumn id="47" xr3:uid="{EF960ECE-3188-4640-B980-8308371DB62E}" uniqueName="47" name="Fruits" queryTableFieldId="61"/>
    <tableColumn id="48" xr3:uid="{F8DEF4B9-5FE0-448F-A856-29C7E3F4DD82}" uniqueName="48" name="Vegetables" queryTableFieldId="62"/>
    <tableColumn id="49" xr3:uid="{7DC01140-AC8F-4847-8420-987E2974805E}" uniqueName="49" name="Pulses and products" queryTableFieldId="63"/>
    <tableColumn id="50" xr3:uid="{A7E8582A-2D96-44C6-87E1-36F3B732C9CC}" uniqueName="50" name="Sugar and Confectionery" queryTableFieldId="64"/>
    <tableColumn id="51" xr3:uid="{1170D0BC-7E8B-4A05-9B84-FF0E34F1F6A8}" uniqueName="51" name="Spices" queryTableFieldId="65"/>
    <tableColumn id="52" xr3:uid="{DA2CC1EC-34EA-4560-9FE6-638A36076889}" uniqueName="52" name="Non-alcoholic beverages" queryTableFieldId="66"/>
    <tableColumn id="53" xr3:uid="{E0C4D446-6539-4713-8A54-4BF2FF8EBC50}" uniqueName="53" name="Prepared meals, snacks, sweets etc." queryTableFieldId="67"/>
    <tableColumn id="54" xr3:uid="{986D4331-8480-4BC5-A8A3-EE1D04019FAA}" uniqueName="54" name="Food and beverages" queryTableFieldId="68"/>
    <tableColumn id="55" xr3:uid="{DD1E3084-B72D-4B49-9195-42F57D349081}" uniqueName="55" name="Pan, tobacco and intoxicants" queryTableFieldId="69"/>
    <tableColumn id="56" xr3:uid="{83ACA5F9-AA81-445A-8815-5F3A72EF69D7}" uniqueName="56" name="Clothing" queryTableFieldId="70"/>
    <tableColumn id="57" xr3:uid="{69B58A00-835E-4DAF-8EA9-588E961D083A}" uniqueName="57" name="Footwear" queryTableFieldId="71"/>
    <tableColumn id="58" xr3:uid="{4AEBD6B7-8072-4EF2-AC00-E1BC8DD6790B}" uniqueName="58" name="Clothing and footwear" queryTableFieldId="72"/>
    <tableColumn id="59" xr3:uid="{FDB561FC-0660-4D4C-AC4F-2836C21B85C8}" uniqueName="59" name="Housing" queryTableFieldId="73" dataDxfId="44"/>
    <tableColumn id="60" xr3:uid="{406F107C-FBAA-4885-A64B-FAB3CC1A72CA}" uniqueName="60" name="Fuel and light" queryTableFieldId="74"/>
    <tableColumn id="61" xr3:uid="{0BB68077-C2DD-4FAA-A888-458F5608BAA7}" uniqueName="61" name="Household goods and services" queryTableFieldId="75"/>
    <tableColumn id="62" xr3:uid="{470F557E-8035-4A79-AEE5-C7975D96FDFF}" uniqueName="62" name="Health" queryTableFieldId="76"/>
    <tableColumn id="63" xr3:uid="{E2324B30-2649-44D6-838F-751B2B617899}" uniqueName="63" name="Transport and communication" queryTableFieldId="77"/>
    <tableColumn id="64" xr3:uid="{AD4DD5DB-EDE6-4534-9DFE-E6AACBACEDBF}" uniqueName="64" name="Recreation and amusement" queryTableFieldId="78"/>
    <tableColumn id="65" xr3:uid="{C76A36D8-5946-4EBE-8D4D-E9D98B8B6ACF}" uniqueName="65" name="Education" queryTableFieldId="79"/>
    <tableColumn id="66" xr3:uid="{C3D7E258-3665-4D2D-9376-80D8941865FD}" uniqueName="66" name="Personal care and effects" queryTableFieldId="80"/>
    <tableColumn id="67" xr3:uid="{805FF9EA-CD3D-4C91-9EE5-46717746B0B3}" uniqueName="67" name="Miscellaneous" queryTableFieldId="81"/>
    <tableColumn id="68" xr3:uid="{454EE167-C2D9-47B3-8167-8EBFDAB71F32}" uniqueName="68" name="General index" queryTableFieldId="82"/>
    <tableColumn id="69" xr3:uid="{9562BCB3-9F88-4EB4-91F2-9AD9B5EF3673}" uniqueName="69" name="Inflation Rate" queryTableFieldId="87" dataDxfId="43">
      <calculatedColumnFormula>AVERAGE(All_India_Index_Upto_April23[[#This Row],[Food]:[General index]])</calculatedColumnFormula>
    </tableColumn>
    <tableColumn id="70" xr3:uid="{58337E33-B83A-4BB1-9514-97FE7CE118FE}" uniqueName="70" name="MonthDate" queryTableFieldId="88" dataDxfId="42">
      <calculatedColumnFormula>DATE(All_India_Index_Upto_April23[[#This Row],[Year]],MONTH(1&amp;TRIM(All_India_Index_Upto_April23[[#This Row],[Month]])),1)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1043-1EB2-4811-9192-50BB2FC9D8E4}">
  <dimension ref="A4:P19"/>
  <sheetViews>
    <sheetView topLeftCell="G13" zoomScale="102" zoomScaleNormal="100" workbookViewId="0">
      <selection activeCell="B25" sqref="B25"/>
    </sheetView>
  </sheetViews>
  <sheetFormatPr defaultRowHeight="14.4" x14ac:dyDescent="0.3"/>
  <cols>
    <col min="1" max="1" width="36.44140625" bestFit="1" customWidth="1"/>
    <col min="2" max="2" width="17.77734375" bestFit="1" customWidth="1"/>
    <col min="3" max="4" width="13" bestFit="1" customWidth="1"/>
    <col min="5" max="5" width="17.5546875" bestFit="1" customWidth="1"/>
    <col min="6" max="6" width="22.109375" bestFit="1" customWidth="1"/>
    <col min="7" max="7" width="36.44140625" bestFit="1" customWidth="1"/>
    <col min="8" max="8" width="16.109375" bestFit="1" customWidth="1"/>
    <col min="9" max="9" width="36.6640625" bestFit="1" customWidth="1"/>
    <col min="10" max="10" width="34.33203125" bestFit="1" customWidth="1"/>
    <col min="11" max="11" width="19.21875" bestFit="1" customWidth="1"/>
    <col min="12" max="12" width="32.109375" bestFit="1" customWidth="1"/>
    <col min="13" max="13" width="22.77734375" bestFit="1" customWidth="1"/>
    <col min="14" max="14" width="22.33203125" bestFit="1" customWidth="1"/>
    <col min="15" max="15" width="17.77734375" bestFit="1" customWidth="1"/>
    <col min="16" max="16" width="18.6640625" bestFit="1" customWidth="1"/>
    <col min="17" max="17" width="17.5546875" bestFit="1" customWidth="1"/>
    <col min="18" max="18" width="14.88671875" bestFit="1" customWidth="1"/>
    <col min="19" max="19" width="36.6640625" bestFit="1" customWidth="1"/>
    <col min="20" max="20" width="16.109375" bestFit="1" customWidth="1"/>
    <col min="21" max="21" width="36.44140625" bestFit="1" customWidth="1"/>
    <col min="22" max="22" width="22.109375" bestFit="1" customWidth="1"/>
    <col min="23" max="23" width="17.77734375" bestFit="1" customWidth="1"/>
    <col min="24" max="24" width="18.6640625" bestFit="1" customWidth="1"/>
    <col min="25" max="25" width="17.5546875" bestFit="1" customWidth="1"/>
    <col min="26" max="26" width="14.88671875" bestFit="1" customWidth="1"/>
    <col min="27" max="27" width="36.6640625" bestFit="1" customWidth="1"/>
    <col min="28" max="28" width="16.109375" bestFit="1" customWidth="1"/>
    <col min="29" max="29" width="36.44140625" bestFit="1" customWidth="1"/>
    <col min="30" max="30" width="22.109375" bestFit="1" customWidth="1"/>
    <col min="31" max="31" width="17.77734375" bestFit="1" customWidth="1"/>
    <col min="32" max="32" width="18.6640625" bestFit="1" customWidth="1"/>
    <col min="33" max="33" width="17.5546875" bestFit="1" customWidth="1"/>
    <col min="34" max="34" width="14.88671875" bestFit="1" customWidth="1"/>
    <col min="35" max="35" width="36.6640625" bestFit="1" customWidth="1"/>
    <col min="36" max="36" width="16.109375" bestFit="1" customWidth="1"/>
    <col min="37" max="37" width="36.44140625" bestFit="1" customWidth="1"/>
    <col min="38" max="38" width="22.109375" bestFit="1" customWidth="1"/>
    <col min="39" max="39" width="17.77734375" bestFit="1" customWidth="1"/>
    <col min="40" max="40" width="18.6640625" bestFit="1" customWidth="1"/>
    <col min="41" max="41" width="17.5546875" bestFit="1" customWidth="1"/>
    <col min="42" max="42" width="14.88671875" bestFit="1" customWidth="1"/>
    <col min="43" max="43" width="36.6640625" bestFit="1" customWidth="1"/>
    <col min="44" max="44" width="16.109375" bestFit="1" customWidth="1"/>
    <col min="45" max="45" width="36.44140625" bestFit="1" customWidth="1"/>
    <col min="46" max="46" width="22.109375" bestFit="1" customWidth="1"/>
    <col min="47" max="47" width="17.77734375" bestFit="1" customWidth="1"/>
    <col min="48" max="48" width="18.6640625" bestFit="1" customWidth="1"/>
    <col min="49" max="49" width="17.5546875" bestFit="1" customWidth="1"/>
    <col min="50" max="50" width="14.88671875" bestFit="1" customWidth="1"/>
    <col min="51" max="51" width="36.6640625" bestFit="1" customWidth="1"/>
    <col min="52" max="52" width="16.109375" bestFit="1" customWidth="1"/>
    <col min="53" max="53" width="36.44140625" bestFit="1" customWidth="1"/>
    <col min="54" max="54" width="22.109375" bestFit="1" customWidth="1"/>
    <col min="55" max="55" width="17.77734375" bestFit="1" customWidth="1"/>
    <col min="56" max="56" width="18.6640625" bestFit="1" customWidth="1"/>
    <col min="57" max="57" width="17.5546875" bestFit="1" customWidth="1"/>
    <col min="58" max="58" width="14.88671875" bestFit="1" customWidth="1"/>
    <col min="59" max="59" width="36.6640625" bestFit="1" customWidth="1"/>
    <col min="60" max="60" width="16.109375" bestFit="1" customWidth="1"/>
    <col min="61" max="61" width="36.44140625" bestFit="1" customWidth="1"/>
    <col min="62" max="62" width="22.109375" bestFit="1" customWidth="1"/>
    <col min="63" max="63" width="17.77734375" bestFit="1" customWidth="1"/>
    <col min="64" max="64" width="18.6640625" bestFit="1" customWidth="1"/>
    <col min="65" max="65" width="17.5546875" bestFit="1" customWidth="1"/>
    <col min="66" max="66" width="14.88671875" bestFit="1" customWidth="1"/>
    <col min="67" max="67" width="36.6640625" bestFit="1" customWidth="1"/>
    <col min="68" max="68" width="16.109375" bestFit="1" customWidth="1"/>
    <col min="69" max="69" width="36.44140625" bestFit="1" customWidth="1"/>
    <col min="70" max="70" width="22.109375" bestFit="1" customWidth="1"/>
    <col min="71" max="71" width="17.77734375" bestFit="1" customWidth="1"/>
    <col min="72" max="72" width="18.6640625" bestFit="1" customWidth="1"/>
    <col min="73" max="73" width="17.5546875" bestFit="1" customWidth="1"/>
    <col min="74" max="74" width="14.88671875" bestFit="1" customWidth="1"/>
    <col min="75" max="75" width="36.6640625" bestFit="1" customWidth="1"/>
    <col min="76" max="76" width="16.109375" bestFit="1" customWidth="1"/>
    <col min="77" max="77" width="36.44140625" bestFit="1" customWidth="1"/>
    <col min="78" max="78" width="22.109375" bestFit="1" customWidth="1"/>
    <col min="79" max="79" width="17.77734375" bestFit="1" customWidth="1"/>
    <col min="80" max="80" width="18.6640625" bestFit="1" customWidth="1"/>
    <col min="81" max="81" width="17.5546875" bestFit="1" customWidth="1"/>
    <col min="82" max="82" width="14.88671875" bestFit="1" customWidth="1"/>
    <col min="83" max="83" width="36.6640625" bestFit="1" customWidth="1"/>
    <col min="84" max="84" width="16.109375" bestFit="1" customWidth="1"/>
    <col min="85" max="85" width="36.44140625" bestFit="1" customWidth="1"/>
    <col min="86" max="86" width="22.109375" bestFit="1" customWidth="1"/>
    <col min="87" max="87" width="17.77734375" bestFit="1" customWidth="1"/>
    <col min="88" max="88" width="18.6640625" bestFit="1" customWidth="1"/>
    <col min="89" max="89" width="17.5546875" bestFit="1" customWidth="1"/>
    <col min="90" max="90" width="14.88671875" bestFit="1" customWidth="1"/>
    <col min="91" max="91" width="36.6640625" bestFit="1" customWidth="1"/>
    <col min="92" max="92" width="16.109375" bestFit="1" customWidth="1"/>
    <col min="93" max="93" width="36.44140625" bestFit="1" customWidth="1"/>
    <col min="94" max="94" width="22.109375" bestFit="1" customWidth="1"/>
    <col min="95" max="95" width="17.77734375" bestFit="1" customWidth="1"/>
    <col min="96" max="96" width="18.6640625" bestFit="1" customWidth="1"/>
    <col min="97" max="97" width="17.5546875" bestFit="1" customWidth="1"/>
    <col min="98" max="98" width="19.6640625" bestFit="1" customWidth="1"/>
    <col min="99" max="99" width="41.44140625" bestFit="1" customWidth="1"/>
    <col min="100" max="100" width="20.88671875" bestFit="1" customWidth="1"/>
    <col min="101" max="101" width="41.21875" bestFit="1" customWidth="1"/>
    <col min="102" max="102" width="26.88671875" bestFit="1" customWidth="1"/>
    <col min="103" max="103" width="22.5546875" bestFit="1" customWidth="1"/>
    <col min="104" max="104" width="23.44140625" bestFit="1" customWidth="1"/>
    <col min="105" max="105" width="22.33203125" bestFit="1" customWidth="1"/>
  </cols>
  <sheetData>
    <row r="4" spans="1:16" x14ac:dyDescent="0.3">
      <c r="A4" s="22"/>
      <c r="B4" s="22" t="s">
        <v>119</v>
      </c>
      <c r="C4" s="23" t="s">
        <v>121</v>
      </c>
    </row>
    <row r="5" spans="1:16" x14ac:dyDescent="0.3">
      <c r="A5" s="22"/>
      <c r="B5" s="22">
        <v>2023</v>
      </c>
      <c r="C5" s="23"/>
    </row>
    <row r="6" spans="1:16" x14ac:dyDescent="0.3">
      <c r="A6" s="22" t="s">
        <v>120</v>
      </c>
      <c r="B6" s="22" t="s">
        <v>38</v>
      </c>
      <c r="C6" s="23"/>
    </row>
    <row r="7" spans="1:16" x14ac:dyDescent="0.3">
      <c r="A7" s="4" t="s">
        <v>52</v>
      </c>
      <c r="B7" s="20">
        <v>2512.6000000000004</v>
      </c>
      <c r="C7" s="20">
        <f>($B7/SUM($B$7:$B19))*100</f>
        <v>54.174135152888944</v>
      </c>
    </row>
    <row r="8" spans="1:16" x14ac:dyDescent="0.3">
      <c r="A8" s="4" t="s">
        <v>64</v>
      </c>
      <c r="B8" s="20">
        <v>186.6</v>
      </c>
      <c r="C8" s="20">
        <f>($B8/SUM($B$7:$B20))*100</f>
        <v>4.0232801160268554</v>
      </c>
    </row>
    <row r="9" spans="1:16" x14ac:dyDescent="0.3">
      <c r="A9" s="4" t="s">
        <v>65</v>
      </c>
      <c r="B9" s="20">
        <v>178.56666666666663</v>
      </c>
      <c r="C9" s="20">
        <f>($B9/SUM($B$7:$B21))*100</f>
        <v>3.8500735229646055</v>
      </c>
    </row>
    <row r="10" spans="1:16" x14ac:dyDescent="0.3">
      <c r="A10" s="4" t="s">
        <v>66</v>
      </c>
      <c r="B10" s="1">
        <v>163.44</v>
      </c>
      <c r="C10" s="20">
        <f>($B10/SUM($B$7:$B22))*100</f>
        <v>3.5239276643270587</v>
      </c>
      <c r="O10">
        <f>MAX(B10:N10)</f>
        <v>163.44</v>
      </c>
      <c r="P10" t="str">
        <f>INDEX(B4:N4,MATCH($O$10,B10:N10,0))</f>
        <v>Column Labels</v>
      </c>
    </row>
    <row r="11" spans="1:16" x14ac:dyDescent="0.3">
      <c r="A11" s="4" t="s">
        <v>67</v>
      </c>
      <c r="B11" s="20">
        <v>182.9</v>
      </c>
      <c r="C11" s="20">
        <f>($B11/SUM($B$7:$B23))*100</f>
        <v>3.9435044652803417</v>
      </c>
    </row>
    <row r="12" spans="1:16" x14ac:dyDescent="0.3">
      <c r="A12" s="4" t="s">
        <v>68</v>
      </c>
      <c r="B12" s="20">
        <v>175.0333333333333</v>
      </c>
      <c r="C12" s="20">
        <f>($B12/SUM($B$7:$B24))*100</f>
        <v>3.7738913699994665</v>
      </c>
    </row>
    <row r="13" spans="1:16" x14ac:dyDescent="0.3">
      <c r="A13" s="4" t="s">
        <v>69</v>
      </c>
      <c r="B13" s="20">
        <v>185.23333333333335</v>
      </c>
      <c r="C13" s="20">
        <f>($B13/SUM($B$7:$B25))*100</f>
        <v>3.993813434219585</v>
      </c>
    </row>
    <row r="14" spans="1:16" x14ac:dyDescent="0.3">
      <c r="A14" s="4" t="s">
        <v>70</v>
      </c>
      <c r="B14" s="20">
        <v>164.96666666666667</v>
      </c>
      <c r="C14" s="20">
        <f>($B14/SUM($B$7:$B26))*100</f>
        <v>3.5568441040044494</v>
      </c>
    </row>
    <row r="15" spans="1:16" x14ac:dyDescent="0.3">
      <c r="A15" s="4" t="s">
        <v>74</v>
      </c>
      <c r="B15" s="20">
        <v>171.4</v>
      </c>
      <c r="C15" s="20">
        <f>($B15/SUM($B$7:$B27))*100</f>
        <v>3.6955531183655035</v>
      </c>
    </row>
    <row r="16" spans="1:16" x14ac:dyDescent="0.3">
      <c r="A16" s="4" t="s">
        <v>75</v>
      </c>
      <c r="B16" s="20">
        <v>177.4</v>
      </c>
      <c r="C16" s="20">
        <f>($B16/SUM($B$7:$B28))*100</f>
        <v>3.8249190384949845</v>
      </c>
    </row>
    <row r="17" spans="1:3" x14ac:dyDescent="0.3">
      <c r="A17" s="4" t="s">
        <v>71</v>
      </c>
      <c r="B17" s="20">
        <v>185.23333333333332</v>
      </c>
      <c r="C17" s="20">
        <f>($B17/SUM($B$7:$B29))*100</f>
        <v>3.9938134342195841</v>
      </c>
    </row>
    <row r="18" spans="1:3" x14ac:dyDescent="0.3">
      <c r="A18" s="4" t="s">
        <v>72</v>
      </c>
      <c r="B18" s="20">
        <v>175.6</v>
      </c>
      <c r="C18" s="20">
        <f>($B18/SUM($B$7:$B30))*100</f>
        <v>3.7861092624561401</v>
      </c>
    </row>
    <row r="19" spans="1:3" x14ac:dyDescent="0.3">
      <c r="A19" s="4" t="s">
        <v>73</v>
      </c>
      <c r="B19" s="20">
        <v>179.0333333333333</v>
      </c>
      <c r="C19" s="20">
        <f>($B19/SUM($B$7:$B31))*100</f>
        <v>3.8601353167524532</v>
      </c>
    </row>
  </sheetData>
  <mergeCells count="1">
    <mergeCell ref="C4:C6"/>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C6CF8-4748-4704-A537-0B26931099B1}">
  <dimension ref="A1:P15"/>
  <sheetViews>
    <sheetView showGridLines="0" topLeftCell="A2" workbookViewId="0">
      <selection activeCell="L7" sqref="L7"/>
    </sheetView>
  </sheetViews>
  <sheetFormatPr defaultRowHeight="14.4" x14ac:dyDescent="0.3"/>
  <cols>
    <col min="1" max="1" width="12.5546875" bestFit="1" customWidth="1"/>
    <col min="2" max="2" width="22.21875" bestFit="1" customWidth="1"/>
  </cols>
  <sheetData>
    <row r="1" spans="1:16" x14ac:dyDescent="0.3">
      <c r="A1" s="3" t="s">
        <v>0</v>
      </c>
      <c r="B1" t="s">
        <v>34</v>
      </c>
    </row>
    <row r="3" spans="1:16" x14ac:dyDescent="0.3">
      <c r="A3" s="3" t="s">
        <v>50</v>
      </c>
      <c r="B3" t="s">
        <v>77</v>
      </c>
      <c r="C3" s="27" t="s">
        <v>122</v>
      </c>
    </row>
    <row r="4" spans="1:16" x14ac:dyDescent="0.3">
      <c r="A4" s="4">
        <v>2016</v>
      </c>
      <c r="B4" s="1">
        <v>192.12738095238095</v>
      </c>
    </row>
    <row r="5" spans="1:16" x14ac:dyDescent="0.3">
      <c r="A5" s="4">
        <v>2017</v>
      </c>
      <c r="B5" s="1">
        <v>196.57529761904763</v>
      </c>
      <c r="C5">
        <f>(($B5-$B4)/$B4)*100</f>
        <v>2.3150873366504219</v>
      </c>
    </row>
    <row r="6" spans="1:16" x14ac:dyDescent="0.3">
      <c r="A6" s="4">
        <v>2018</v>
      </c>
      <c r="B6" s="1">
        <v>201.91398809523807</v>
      </c>
      <c r="C6">
        <f t="shared" ref="C6:C12" si="0">(($B6-$B5)/$B5)*100</f>
        <v>2.7158501301300491</v>
      </c>
      <c r="D6" s="24" t="s">
        <v>123</v>
      </c>
      <c r="E6" s="24"/>
      <c r="F6" s="24"/>
      <c r="G6" s="24"/>
      <c r="H6" s="24"/>
      <c r="I6" s="24"/>
      <c r="J6" s="24"/>
      <c r="K6" s="24"/>
      <c r="L6" s="24"/>
      <c r="M6" s="24"/>
      <c r="N6" s="24"/>
      <c r="O6" s="24"/>
      <c r="P6" s="24"/>
    </row>
    <row r="7" spans="1:16" x14ac:dyDescent="0.3">
      <c r="A7" s="4">
        <v>2019</v>
      </c>
      <c r="B7" s="1">
        <v>209.14415584415582</v>
      </c>
      <c r="C7">
        <f t="shared" si="0"/>
        <v>3.58081568153042</v>
      </c>
    </row>
    <row r="8" spans="1:16" x14ac:dyDescent="0.3">
      <c r="A8" s="4">
        <v>2020</v>
      </c>
      <c r="B8" s="1">
        <v>224.62392857142851</v>
      </c>
      <c r="C8">
        <f t="shared" si="0"/>
        <v>7.4014847150725416</v>
      </c>
    </row>
    <row r="9" spans="1:16" x14ac:dyDescent="0.3">
      <c r="A9" s="4">
        <v>2021</v>
      </c>
      <c r="B9" s="1">
        <v>238.73333333333335</v>
      </c>
      <c r="C9">
        <f t="shared" si="0"/>
        <v>6.2813453809833844</v>
      </c>
      <c r="I9" s="4">
        <v>2017</v>
      </c>
      <c r="J9">
        <v>2.3150873366504219</v>
      </c>
    </row>
    <row r="10" spans="1:16" x14ac:dyDescent="0.3">
      <c r="A10" s="4">
        <v>2022</v>
      </c>
      <c r="B10" s="1">
        <v>253.25863095238097</v>
      </c>
      <c r="C10">
        <f t="shared" si="0"/>
        <v>6.0843190250129648</v>
      </c>
      <c r="F10" s="6"/>
      <c r="I10" s="4">
        <v>2018</v>
      </c>
      <c r="J10">
        <v>2.7158501301300491</v>
      </c>
    </row>
    <row r="11" spans="1:16" x14ac:dyDescent="0.3">
      <c r="A11" s="4">
        <v>2023</v>
      </c>
      <c r="B11" s="1">
        <v>260.26999999999992</v>
      </c>
      <c r="C11">
        <f t="shared" si="0"/>
        <v>2.7684620347400006</v>
      </c>
      <c r="I11" s="4">
        <v>2019</v>
      </c>
      <c r="J11">
        <v>3.58081568153042</v>
      </c>
    </row>
    <row r="12" spans="1:16" x14ac:dyDescent="0.3">
      <c r="A12" s="4" t="s">
        <v>51</v>
      </c>
      <c r="B12" s="1">
        <v>219.06370431893689</v>
      </c>
      <c r="I12" s="4">
        <v>2020</v>
      </c>
      <c r="J12">
        <v>7.4014847150725416</v>
      </c>
    </row>
    <row r="13" spans="1:16" x14ac:dyDescent="0.3">
      <c r="I13" s="4">
        <v>2021</v>
      </c>
      <c r="J13">
        <v>6.2813453809833844</v>
      </c>
    </row>
    <row r="14" spans="1:16" x14ac:dyDescent="0.3">
      <c r="I14" s="4">
        <v>2022</v>
      </c>
      <c r="J14">
        <v>6.0843190250129648</v>
      </c>
    </row>
    <row r="15" spans="1:16" x14ac:dyDescent="0.3">
      <c r="I15" s="4">
        <v>2023</v>
      </c>
      <c r="J15">
        <v>2.7684620347400006</v>
      </c>
    </row>
  </sheetData>
  <mergeCells count="1">
    <mergeCell ref="D6:P6"/>
  </mergeCells>
  <pageMargins left="0.7" right="0.7" top="0.75" bottom="0.75" header="0.3" footer="0.3"/>
  <pageSetup orientation="portrait" horizontalDpi="300" verticalDpi="3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B6D6-6744-4CC9-B580-53084084412D}">
  <dimension ref="A3:O31"/>
  <sheetViews>
    <sheetView topLeftCell="A7" workbookViewId="0">
      <selection activeCell="E7" sqref="E7"/>
    </sheetView>
  </sheetViews>
  <sheetFormatPr defaultRowHeight="14.4" x14ac:dyDescent="0.3"/>
  <cols>
    <col min="1" max="1" width="16.77734375" bestFit="1" customWidth="1"/>
    <col min="2" max="2" width="14.88671875" bestFit="1" customWidth="1"/>
    <col min="3" max="3" width="12.6640625" bestFit="1" customWidth="1"/>
    <col min="4" max="4" width="10.77734375" bestFit="1" customWidth="1"/>
  </cols>
  <sheetData>
    <row r="3" spans="1:15" x14ac:dyDescent="0.3">
      <c r="A3" s="3" t="s">
        <v>50</v>
      </c>
      <c r="B3" t="s">
        <v>52</v>
      </c>
      <c r="C3" s="32" t="s">
        <v>122</v>
      </c>
    </row>
    <row r="4" spans="1:15" x14ac:dyDescent="0.3">
      <c r="A4" s="8">
        <v>44682</v>
      </c>
      <c r="B4" s="2">
        <v>2437.4666666666672</v>
      </c>
      <c r="E4" s="24" t="s">
        <v>124</v>
      </c>
      <c r="F4" s="24"/>
      <c r="G4" s="24"/>
      <c r="H4" s="24"/>
      <c r="I4" s="24"/>
      <c r="J4" s="24"/>
      <c r="K4" s="24"/>
      <c r="L4" s="24"/>
      <c r="M4" s="24"/>
      <c r="N4" s="24"/>
      <c r="O4" s="24"/>
    </row>
    <row r="5" spans="1:15" x14ac:dyDescent="0.3">
      <c r="A5" s="28">
        <v>44713</v>
      </c>
      <c r="B5" s="2">
        <v>2461.0666666666671</v>
      </c>
      <c r="C5">
        <f>(($B5-$B4)/$B4)*100</f>
        <v>0.96821836879820189</v>
      </c>
    </row>
    <row r="6" spans="1:15" x14ac:dyDescent="0.3">
      <c r="A6" s="8">
        <v>44743</v>
      </c>
      <c r="B6" s="2">
        <v>2465.6</v>
      </c>
      <c r="C6">
        <f t="shared" ref="C6:C17" si="0">(($B6-$B5)/$B5)*100</f>
        <v>0.18420197204462213</v>
      </c>
    </row>
    <row r="7" spans="1:15" x14ac:dyDescent="0.3">
      <c r="A7" s="8">
        <v>44774</v>
      </c>
      <c r="B7" s="2">
        <v>2468.7000000000003</v>
      </c>
      <c r="C7">
        <f t="shared" si="0"/>
        <v>0.12573004542506344</v>
      </c>
    </row>
    <row r="8" spans="1:15" x14ac:dyDescent="0.3">
      <c r="A8" s="8">
        <v>44805</v>
      </c>
      <c r="B8" s="2">
        <v>2481.7333333333331</v>
      </c>
      <c r="C8">
        <f t="shared" si="0"/>
        <v>0.52794318197159829</v>
      </c>
    </row>
    <row r="9" spans="1:15" x14ac:dyDescent="0.3">
      <c r="A9" s="8">
        <v>44835</v>
      </c>
      <c r="B9" s="2">
        <v>2498.4666666666667</v>
      </c>
      <c r="C9">
        <f t="shared" si="0"/>
        <v>0.67425992585828087</v>
      </c>
    </row>
    <row r="10" spans="1:15" x14ac:dyDescent="0.3">
      <c r="A10" s="8">
        <v>44866</v>
      </c>
      <c r="B10" s="2">
        <v>2497.3000000000002</v>
      </c>
      <c r="C10">
        <f t="shared" si="0"/>
        <v>-4.6695306454619438E-2</v>
      </c>
    </row>
    <row r="11" spans="1:15" x14ac:dyDescent="0.3">
      <c r="A11" s="8">
        <v>44896</v>
      </c>
      <c r="B11" s="2">
        <v>2483.5333333333333</v>
      </c>
      <c r="C11">
        <f t="shared" si="0"/>
        <v>-0.55126202965870652</v>
      </c>
    </row>
    <row r="12" spans="1:15" x14ac:dyDescent="0.3">
      <c r="A12" s="8">
        <v>44927</v>
      </c>
      <c r="B12" s="2">
        <v>2494.2666666666669</v>
      </c>
      <c r="C12">
        <f t="shared" si="0"/>
        <v>0.43217995866105718</v>
      </c>
    </row>
    <row r="13" spans="1:15" x14ac:dyDescent="0.3">
      <c r="A13" s="8">
        <v>44958</v>
      </c>
      <c r="B13" s="2">
        <v>2482.8333333333335</v>
      </c>
      <c r="C13">
        <f t="shared" si="0"/>
        <v>-0.45838456192869215</v>
      </c>
    </row>
    <row r="14" spans="1:15" x14ac:dyDescent="0.3">
      <c r="A14" s="8">
        <v>44986</v>
      </c>
      <c r="B14" s="2">
        <v>2483</v>
      </c>
      <c r="C14">
        <f t="shared" si="0"/>
        <v>6.7127609585761602E-3</v>
      </c>
    </row>
    <row r="15" spans="1:15" x14ac:dyDescent="0.3">
      <c r="A15" s="8">
        <v>45017</v>
      </c>
      <c r="B15" s="2">
        <v>2495.0333333333333</v>
      </c>
      <c r="C15">
        <f t="shared" si="0"/>
        <v>0.48462880923613788</v>
      </c>
    </row>
    <row r="16" spans="1:15" x14ac:dyDescent="0.3">
      <c r="A16" s="28">
        <v>45047</v>
      </c>
      <c r="B16" s="2">
        <v>2512.6000000000004</v>
      </c>
      <c r="C16">
        <f t="shared" si="0"/>
        <v>0.70406540994777866</v>
      </c>
    </row>
    <row r="17" spans="1:2" x14ac:dyDescent="0.3">
      <c r="A17" s="4" t="s">
        <v>51</v>
      </c>
      <c r="B17" s="2">
        <v>2481.6615384615384</v>
      </c>
    </row>
    <row r="20" spans="1:2" x14ac:dyDescent="0.3">
      <c r="A20" s="33">
        <v>44713</v>
      </c>
      <c r="B20" s="30">
        <v>0.96821836879820189</v>
      </c>
    </row>
    <row r="21" spans="1:2" x14ac:dyDescent="0.3">
      <c r="A21" s="31">
        <v>44743</v>
      </c>
      <c r="B21" s="30">
        <v>0.18420197204462213</v>
      </c>
    </row>
    <row r="22" spans="1:2" x14ac:dyDescent="0.3">
      <c r="A22" s="31">
        <v>44774</v>
      </c>
      <c r="B22" s="30">
        <v>0.12573004542506344</v>
      </c>
    </row>
    <row r="23" spans="1:2" x14ac:dyDescent="0.3">
      <c r="A23" s="31">
        <v>44805</v>
      </c>
      <c r="B23" s="30">
        <v>0.52794318197159829</v>
      </c>
    </row>
    <row r="24" spans="1:2" x14ac:dyDescent="0.3">
      <c r="A24" s="31">
        <v>44835</v>
      </c>
      <c r="B24" s="30">
        <v>0.67425992585828087</v>
      </c>
    </row>
    <row r="25" spans="1:2" x14ac:dyDescent="0.3">
      <c r="A25" s="31">
        <v>44866</v>
      </c>
      <c r="B25" s="30">
        <v>-4.6695306454619438E-2</v>
      </c>
    </row>
    <row r="26" spans="1:2" x14ac:dyDescent="0.3">
      <c r="A26" s="34">
        <v>44896</v>
      </c>
      <c r="B26" s="30">
        <v>-0.55126202965870652</v>
      </c>
    </row>
    <row r="27" spans="1:2" x14ac:dyDescent="0.3">
      <c r="A27" s="31">
        <v>44927</v>
      </c>
      <c r="B27" s="30">
        <v>0.43217995866105718</v>
      </c>
    </row>
    <row r="28" spans="1:2" x14ac:dyDescent="0.3">
      <c r="A28" s="31">
        <v>44958</v>
      </c>
      <c r="B28" s="30">
        <v>-0.45838456192869215</v>
      </c>
    </row>
    <row r="29" spans="1:2" x14ac:dyDescent="0.3">
      <c r="A29" s="31">
        <v>44986</v>
      </c>
      <c r="B29" s="30">
        <v>6.7127609585761602E-3</v>
      </c>
    </row>
    <row r="30" spans="1:2" x14ac:dyDescent="0.3">
      <c r="A30" s="31">
        <v>45017</v>
      </c>
      <c r="B30" s="30">
        <v>0.48462880923613788</v>
      </c>
    </row>
    <row r="31" spans="1:2" x14ac:dyDescent="0.3">
      <c r="A31" s="29">
        <v>45047</v>
      </c>
      <c r="B31" s="30">
        <v>0.70406540994777866</v>
      </c>
    </row>
  </sheetData>
  <mergeCells count="1">
    <mergeCell ref="E4:O4"/>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62C8-3E7F-4156-AC51-85AC368779D8}">
  <dimension ref="A3:Q21"/>
  <sheetViews>
    <sheetView workbookViewId="0">
      <selection activeCell="P19" sqref="P19"/>
    </sheetView>
  </sheetViews>
  <sheetFormatPr defaultRowHeight="14.4" x14ac:dyDescent="0.3"/>
  <cols>
    <col min="1" max="1" width="16.77734375" bestFit="1" customWidth="1"/>
    <col min="2" max="2" width="28.5546875" bestFit="1" customWidth="1"/>
    <col min="3" max="3" width="22.44140625" bestFit="1" customWidth="1"/>
    <col min="4" max="4" width="13.6640625" bestFit="1" customWidth="1"/>
    <col min="5" max="5" width="26.21875" bestFit="1" customWidth="1"/>
    <col min="6" max="6" width="21" bestFit="1" customWidth="1"/>
    <col min="7" max="7" width="15.21875" bestFit="1" customWidth="1"/>
    <col min="8" max="8" width="20" bestFit="1" customWidth="1"/>
    <col min="9" max="9" width="27.77734375" bestFit="1" customWidth="1"/>
    <col min="10" max="10" width="31.88671875" bestFit="1" customWidth="1"/>
    <col min="11" max="11" width="15.88671875" bestFit="1" customWidth="1"/>
    <col min="12" max="12" width="31.77734375" bestFit="1" customWidth="1"/>
    <col min="13" max="13" width="41.109375" bestFit="1" customWidth="1"/>
    <col min="14" max="14" width="27.88671875" bestFit="1" customWidth="1"/>
    <col min="15" max="15" width="35.44140625" bestFit="1" customWidth="1"/>
    <col min="16" max="16" width="16.77734375" bestFit="1" customWidth="1"/>
    <col min="17" max="17" width="19.33203125" bestFit="1" customWidth="1"/>
  </cols>
  <sheetData>
    <row r="3" spans="1:17" x14ac:dyDescent="0.3">
      <c r="A3" s="3" t="s">
        <v>50</v>
      </c>
      <c r="B3" t="s">
        <v>53</v>
      </c>
      <c r="C3" t="s">
        <v>54</v>
      </c>
      <c r="D3" t="s">
        <v>55</v>
      </c>
      <c r="E3" t="s">
        <v>56</v>
      </c>
      <c r="F3" t="s">
        <v>57</v>
      </c>
      <c r="G3" t="s">
        <v>58</v>
      </c>
      <c r="H3" t="s">
        <v>59</v>
      </c>
      <c r="I3" t="s">
        <v>60</v>
      </c>
      <c r="J3" t="s">
        <v>61</v>
      </c>
      <c r="K3" t="s">
        <v>62</v>
      </c>
      <c r="L3" t="s">
        <v>63</v>
      </c>
      <c r="M3" t="s">
        <v>78</v>
      </c>
      <c r="N3" t="s">
        <v>79</v>
      </c>
      <c r="O3" t="s">
        <v>80</v>
      </c>
      <c r="P3" s="9" t="s">
        <v>82</v>
      </c>
      <c r="Q3" s="9" t="s">
        <v>85</v>
      </c>
    </row>
    <row r="4" spans="1:17" x14ac:dyDescent="0.3">
      <c r="A4" s="8">
        <v>44682</v>
      </c>
      <c r="B4" s="2"/>
      <c r="C4" s="2"/>
      <c r="D4" s="2"/>
      <c r="E4" s="2"/>
      <c r="F4" s="2"/>
      <c r="G4" s="2"/>
      <c r="H4" s="2"/>
      <c r="I4" s="2"/>
      <c r="J4" s="2"/>
      <c r="K4" s="2"/>
      <c r="L4" s="2"/>
      <c r="M4" s="2"/>
      <c r="N4" s="2"/>
      <c r="O4" s="2"/>
      <c r="P4" s="10"/>
      <c r="Q4" s="10"/>
    </row>
    <row r="5" spans="1:17" x14ac:dyDescent="0.3">
      <c r="A5" s="8">
        <v>44713</v>
      </c>
      <c r="B5" s="2">
        <v>0.86666666666670267</v>
      </c>
      <c r="C5" s="2">
        <v>2.3666666666666742</v>
      </c>
      <c r="D5" s="2">
        <v>8.4333333333333655</v>
      </c>
      <c r="E5" s="2">
        <v>0.90000000000000568</v>
      </c>
      <c r="F5" s="2">
        <v>-1.3999999999999773</v>
      </c>
      <c r="G5" s="2">
        <v>-1.3000000000000114</v>
      </c>
      <c r="H5" s="2">
        <v>7.5333333333333314</v>
      </c>
      <c r="I5" s="2">
        <v>-0.43333333333333712</v>
      </c>
      <c r="J5" s="2">
        <v>0.19999999999998863</v>
      </c>
      <c r="K5" s="2">
        <v>2.2000000000000171</v>
      </c>
      <c r="L5" s="2">
        <v>0.79999999999998295</v>
      </c>
      <c r="M5" s="2">
        <v>1.4333333333333371</v>
      </c>
      <c r="N5" s="2">
        <v>1.6666666666666572</v>
      </c>
      <c r="O5" s="2">
        <v>0.33333333333331439</v>
      </c>
      <c r="P5" s="11">
        <f t="shared" ref="P5:P16" si="0">MAX(B5:O5)</f>
        <v>8.4333333333333655</v>
      </c>
      <c r="Q5" s="10" t="str">
        <f t="shared" ref="Q5:Q16" si="1">INDEX($B$3:$O$3,MATCH($P5,B5:O5,0))</f>
        <v>Average of Egg</v>
      </c>
    </row>
    <row r="6" spans="1:17" x14ac:dyDescent="0.3">
      <c r="A6" s="8">
        <v>44743</v>
      </c>
      <c r="B6" s="2">
        <v>1.5666666666666629</v>
      </c>
      <c r="C6" s="2">
        <v>-6.3666666666666458</v>
      </c>
      <c r="D6" s="2">
        <v>4.2999999999999545</v>
      </c>
      <c r="E6" s="2">
        <v>0.79999999999998295</v>
      </c>
      <c r="F6" s="2">
        <v>-4.9333333333333655</v>
      </c>
      <c r="G6" s="2">
        <v>4.5666666666666629</v>
      </c>
      <c r="H6" s="2">
        <v>-0.63333333333332575</v>
      </c>
      <c r="I6" s="2">
        <v>6.6666666666691299E-2</v>
      </c>
      <c r="J6" s="2">
        <v>0.10000000000000853</v>
      </c>
      <c r="K6" s="2">
        <v>2.8666666666666742</v>
      </c>
      <c r="L6" s="2">
        <v>0.50000000000002842</v>
      </c>
      <c r="M6" s="2">
        <v>1.3000000000000114</v>
      </c>
      <c r="N6" s="2">
        <v>9.9999999999994316E-2</v>
      </c>
      <c r="O6" s="2">
        <v>0.30000000000001137</v>
      </c>
      <c r="P6" s="11">
        <f t="shared" si="0"/>
        <v>4.5666666666666629</v>
      </c>
      <c r="Q6" s="10" t="str">
        <f t="shared" si="1"/>
        <v>Average of Fruits</v>
      </c>
    </row>
    <row r="7" spans="1:17" x14ac:dyDescent="0.3">
      <c r="A7" s="8">
        <v>44774</v>
      </c>
      <c r="B7" s="2">
        <v>3.6333333333333258</v>
      </c>
      <c r="C7" s="2">
        <v>-6.466666666666697</v>
      </c>
      <c r="D7" s="2">
        <v>-6</v>
      </c>
      <c r="E7" s="2">
        <v>1.4666666666666686</v>
      </c>
      <c r="F7" s="2">
        <v>-3.2666666666666515</v>
      </c>
      <c r="G7" s="2">
        <v>-1.3666666666666174</v>
      </c>
      <c r="H7" s="2">
        <v>4.5666666666666629</v>
      </c>
      <c r="I7" s="2">
        <v>2.9666666666666686</v>
      </c>
      <c r="J7" s="2">
        <v>0.86666666666667425</v>
      </c>
      <c r="K7" s="2">
        <v>3.5999999999999943</v>
      </c>
      <c r="L7" s="2">
        <v>0.46666666666664014</v>
      </c>
      <c r="M7" s="2">
        <v>1.0666666666666629</v>
      </c>
      <c r="N7" s="2">
        <v>1.2333333333333485</v>
      </c>
      <c r="O7" s="2">
        <v>0.33333333333331439</v>
      </c>
      <c r="P7" s="11">
        <f t="shared" si="0"/>
        <v>4.5666666666666629</v>
      </c>
      <c r="Q7" s="10" t="str">
        <f t="shared" si="1"/>
        <v>Average of Vegetables</v>
      </c>
    </row>
    <row r="8" spans="1:17" x14ac:dyDescent="0.3">
      <c r="A8" s="8">
        <v>44805</v>
      </c>
      <c r="B8" s="2">
        <v>3.1333333333333258</v>
      </c>
      <c r="C8" s="2">
        <v>2.6999999999999886</v>
      </c>
      <c r="D8" s="2">
        <v>0.50000000000002842</v>
      </c>
      <c r="E8" s="2">
        <v>1.6333333333333258</v>
      </c>
      <c r="F8" s="2">
        <v>-3.6333333333333258</v>
      </c>
      <c r="G8" s="2">
        <v>-7.3000000000000398</v>
      </c>
      <c r="H8" s="2">
        <v>5.5333333333333314</v>
      </c>
      <c r="I8" s="2">
        <v>1.8999999999999773</v>
      </c>
      <c r="J8" s="2">
        <v>0.73333333333332007</v>
      </c>
      <c r="K8" s="2">
        <v>3.6999999999999886</v>
      </c>
      <c r="L8" s="2">
        <v>0.59999999999999432</v>
      </c>
      <c r="M8" s="2">
        <v>1.1333333333333258</v>
      </c>
      <c r="N8" s="2">
        <v>1.5</v>
      </c>
      <c r="O8" s="2">
        <v>0.90000000000003411</v>
      </c>
      <c r="P8" s="11">
        <f t="shared" si="0"/>
        <v>5.5333333333333314</v>
      </c>
      <c r="Q8" s="10" t="str">
        <f t="shared" si="1"/>
        <v>Average of Vegetables</v>
      </c>
    </row>
    <row r="9" spans="1:17" x14ac:dyDescent="0.3">
      <c r="A9" s="8">
        <v>44835</v>
      </c>
      <c r="B9" s="2">
        <v>1.6666666666666856</v>
      </c>
      <c r="C9" s="2">
        <v>1.6666666666666856</v>
      </c>
      <c r="D9" s="2">
        <v>1.1666666666666572</v>
      </c>
      <c r="E9" s="2">
        <v>1.1666666666666572</v>
      </c>
      <c r="F9" s="2">
        <v>-2.1000000000000227</v>
      </c>
      <c r="G9" s="2">
        <v>-1.8666666666666458</v>
      </c>
      <c r="H9" s="2">
        <v>7.8666666666666458</v>
      </c>
      <c r="I9" s="2">
        <v>0.70000000000001705</v>
      </c>
      <c r="J9" s="2">
        <v>0.29999999999999716</v>
      </c>
      <c r="K9" s="2">
        <v>2.6333333333333258</v>
      </c>
      <c r="L9" s="2">
        <v>0.46666666666666856</v>
      </c>
      <c r="M9" s="2">
        <v>0.93333333333333712</v>
      </c>
      <c r="N9" s="2">
        <v>1.7333333333333201</v>
      </c>
      <c r="O9" s="2">
        <v>0.39999999999997726</v>
      </c>
      <c r="P9" s="11">
        <f t="shared" si="0"/>
        <v>7.8666666666666458</v>
      </c>
      <c r="Q9" s="10" t="str">
        <f t="shared" si="1"/>
        <v>Average of Vegetables</v>
      </c>
    </row>
    <row r="10" spans="1:17" x14ac:dyDescent="0.3">
      <c r="A10" s="8">
        <v>44866</v>
      </c>
      <c r="B10" s="2">
        <v>2.1333333333333542</v>
      </c>
      <c r="C10" s="2">
        <v>-1.5333333333333314</v>
      </c>
      <c r="D10" s="2">
        <v>10.566666666666663</v>
      </c>
      <c r="E10" s="2">
        <v>1.3666666666667311</v>
      </c>
      <c r="F10" s="2">
        <v>2.3666666666666742</v>
      </c>
      <c r="G10" s="2">
        <v>-3.1000000000000227</v>
      </c>
      <c r="H10" s="2">
        <v>-17.633333333333297</v>
      </c>
      <c r="I10" s="2">
        <v>0.76666666666665151</v>
      </c>
      <c r="J10" s="2">
        <v>0.20000000000000284</v>
      </c>
      <c r="K10" s="2">
        <v>2.8333333333333712</v>
      </c>
      <c r="L10" s="2">
        <v>0.53333333333333144</v>
      </c>
      <c r="M10" s="2">
        <v>1.1333333333333258</v>
      </c>
      <c r="N10" s="2">
        <v>-1.3666666666666458</v>
      </c>
      <c r="O10" s="2">
        <v>0.56666666666666288</v>
      </c>
      <c r="P10" s="11">
        <f t="shared" si="0"/>
        <v>10.566666666666663</v>
      </c>
      <c r="Q10" s="10" t="str">
        <f t="shared" si="1"/>
        <v>Average of Egg</v>
      </c>
    </row>
    <row r="11" spans="1:17" x14ac:dyDescent="0.3">
      <c r="A11" s="8">
        <v>44896</v>
      </c>
      <c r="B11" s="2">
        <v>1.8333333333333144</v>
      </c>
      <c r="C11" s="2">
        <v>-0.40000000000000568</v>
      </c>
      <c r="D11" s="2">
        <v>8.8000000000000114</v>
      </c>
      <c r="E11" s="2">
        <v>1.333333333333286</v>
      </c>
      <c r="F11" s="2">
        <v>-0.46666666666666856</v>
      </c>
      <c r="G11" s="2">
        <v>-2.7333333333333201</v>
      </c>
      <c r="H11" s="2">
        <v>-23.800000000000011</v>
      </c>
      <c r="I11" s="2">
        <v>0.30000000000001137</v>
      </c>
      <c r="J11" s="2">
        <v>-0.30000000000001137</v>
      </c>
      <c r="K11" s="2">
        <v>2.2666666666666515</v>
      </c>
      <c r="L11" s="2">
        <v>0.5666666666666913</v>
      </c>
      <c r="M11" s="2">
        <v>0.83333333333331439</v>
      </c>
      <c r="N11" s="2">
        <v>-2.4333333333333655</v>
      </c>
      <c r="O11" s="2">
        <v>0.43333333333333712</v>
      </c>
      <c r="P11" s="11">
        <f t="shared" si="0"/>
        <v>8.8000000000000114</v>
      </c>
      <c r="Q11" s="10" t="str">
        <f t="shared" si="1"/>
        <v>Average of Egg</v>
      </c>
    </row>
    <row r="12" spans="1:17" x14ac:dyDescent="0.3">
      <c r="A12" s="8">
        <v>44927</v>
      </c>
      <c r="B12" s="2">
        <v>4.3000000000000114</v>
      </c>
      <c r="C12" s="2">
        <v>1.8000000000000114</v>
      </c>
      <c r="D12" s="2">
        <v>4.3999999999999773</v>
      </c>
      <c r="E12" s="2">
        <v>1.0666666666666345</v>
      </c>
      <c r="F12" s="2">
        <v>-1.2333333333333485</v>
      </c>
      <c r="G12" s="2">
        <v>0.30000000000001137</v>
      </c>
      <c r="H12" s="2">
        <v>-5.5666666666666629</v>
      </c>
      <c r="I12" s="2">
        <v>6.6666666666634455E-2</v>
      </c>
      <c r="J12" s="2">
        <v>-0.66666666666664298</v>
      </c>
      <c r="K12" s="2">
        <v>3.3333333333333428</v>
      </c>
      <c r="L12" s="2">
        <v>0.46666666666664014</v>
      </c>
      <c r="M12" s="2">
        <v>0.90000000000003411</v>
      </c>
      <c r="N12" s="2">
        <v>0.76666666666670835</v>
      </c>
      <c r="O12" s="2">
        <v>0.79999999999998295</v>
      </c>
      <c r="P12" s="11">
        <f t="shared" si="0"/>
        <v>4.3999999999999773</v>
      </c>
      <c r="Q12" s="10" t="str">
        <f t="shared" si="1"/>
        <v>Average of Egg</v>
      </c>
    </row>
    <row r="13" spans="1:17" x14ac:dyDescent="0.3">
      <c r="A13" s="8">
        <v>44958</v>
      </c>
      <c r="B13" s="2">
        <v>0.73333333333329165</v>
      </c>
      <c r="C13" s="2">
        <v>-3.0333333333333599</v>
      </c>
      <c r="D13" s="2">
        <v>-19.366666666666674</v>
      </c>
      <c r="E13" s="2">
        <v>2.7000000000000455</v>
      </c>
      <c r="F13" s="2">
        <v>-7.6333333333333258</v>
      </c>
      <c r="G13" s="2">
        <v>11.23333333333332</v>
      </c>
      <c r="H13" s="2">
        <v>-0.90000000000000568</v>
      </c>
      <c r="I13" s="2">
        <v>0.26666666666670835</v>
      </c>
      <c r="J13" s="2">
        <v>-1.0333333333333456</v>
      </c>
      <c r="K13" s="2">
        <v>1.1333333333333258</v>
      </c>
      <c r="L13" s="2">
        <v>0.93333333333336554</v>
      </c>
      <c r="M13" s="2">
        <v>1.8333333333333144</v>
      </c>
      <c r="N13" s="2">
        <v>0.4333333333333087</v>
      </c>
      <c r="O13" s="2">
        <v>1.2666666666666799</v>
      </c>
      <c r="P13" s="11">
        <f t="shared" si="0"/>
        <v>11.23333333333332</v>
      </c>
      <c r="Q13" s="10" t="str">
        <f t="shared" si="1"/>
        <v>Average of Fruits</v>
      </c>
    </row>
    <row r="14" spans="1:17" x14ac:dyDescent="0.3">
      <c r="A14" s="8">
        <v>44986</v>
      </c>
      <c r="B14" s="2">
        <v>3.3333333333388282E-2</v>
      </c>
      <c r="C14" s="2">
        <v>0</v>
      </c>
      <c r="D14" s="2">
        <v>0</v>
      </c>
      <c r="E14" s="2">
        <v>0</v>
      </c>
      <c r="F14" s="2">
        <v>-6.6666666666634455E-2</v>
      </c>
      <c r="G14" s="2">
        <v>0</v>
      </c>
      <c r="H14" s="2">
        <v>6.6666666666662877E-2</v>
      </c>
      <c r="I14" s="2">
        <v>6.6666666666634455E-2</v>
      </c>
      <c r="J14" s="2">
        <v>0</v>
      </c>
      <c r="K14" s="2">
        <v>0</v>
      </c>
      <c r="L14" s="2">
        <v>0</v>
      </c>
      <c r="M14" s="2">
        <v>0</v>
      </c>
      <c r="N14" s="2">
        <v>3.3333333333331439E-2</v>
      </c>
      <c r="O14" s="2">
        <v>3.333333333335986E-2</v>
      </c>
      <c r="P14" s="11">
        <f t="shared" si="0"/>
        <v>6.6666666666662877E-2</v>
      </c>
      <c r="Q14" s="10" t="str">
        <f t="shared" si="1"/>
        <v>Average of Vegetables</v>
      </c>
    </row>
    <row r="15" spans="1:17" x14ac:dyDescent="0.3">
      <c r="A15" s="8">
        <v>45017</v>
      </c>
      <c r="B15" s="2">
        <v>-0.5</v>
      </c>
      <c r="C15" s="2">
        <v>1.6000000000000227</v>
      </c>
      <c r="D15" s="2">
        <v>-5.4666666666666401</v>
      </c>
      <c r="E15" s="2">
        <v>1.0666666666666913</v>
      </c>
      <c r="F15" s="2">
        <v>-4.2000000000000171</v>
      </c>
      <c r="G15" s="2">
        <v>6.8000000000000114</v>
      </c>
      <c r="H15" s="2">
        <v>2.8333333333333428</v>
      </c>
      <c r="I15" s="2">
        <v>2.3666666666667027</v>
      </c>
      <c r="J15" s="2">
        <v>1.2666666666666515</v>
      </c>
      <c r="K15" s="2">
        <v>3.2000000000000171</v>
      </c>
      <c r="L15" s="2">
        <v>0.59999999999993747</v>
      </c>
      <c r="M15" s="2">
        <v>0.5</v>
      </c>
      <c r="N15" s="2">
        <v>0.96666666666666856</v>
      </c>
      <c r="O15" s="2">
        <v>1</v>
      </c>
      <c r="P15" s="11">
        <f t="shared" si="0"/>
        <v>6.8000000000000114</v>
      </c>
      <c r="Q15" s="10" t="str">
        <f t="shared" si="1"/>
        <v>Average of Fruits</v>
      </c>
    </row>
    <row r="16" spans="1:17" x14ac:dyDescent="0.3">
      <c r="A16" s="8">
        <v>45047</v>
      </c>
      <c r="B16" s="2">
        <v>-0.10000000000005116</v>
      </c>
      <c r="C16" s="2">
        <v>5.1000000000000227</v>
      </c>
      <c r="D16" s="2">
        <v>3.6666666666666572</v>
      </c>
      <c r="E16" s="2">
        <v>1.033333333333303</v>
      </c>
      <c r="F16" s="2">
        <v>-4.8000000000000114</v>
      </c>
      <c r="G16" s="2">
        <v>-4.0666666666666629</v>
      </c>
      <c r="H16" s="2">
        <v>5.5333333333333314</v>
      </c>
      <c r="I16" s="2">
        <v>2.1666666666666288</v>
      </c>
      <c r="J16" s="2">
        <v>1.333333333333357</v>
      </c>
      <c r="K16" s="2">
        <v>4.8999999999999773</v>
      </c>
      <c r="L16" s="2">
        <v>0.46666666666669698</v>
      </c>
      <c r="M16" s="2">
        <v>0.66666666666668561</v>
      </c>
      <c r="N16" s="2">
        <v>1.1666666666666572</v>
      </c>
      <c r="O16" s="2">
        <v>0.5</v>
      </c>
      <c r="P16" s="11">
        <f t="shared" si="0"/>
        <v>5.5333333333333314</v>
      </c>
      <c r="Q16" s="10" t="str">
        <f t="shared" si="1"/>
        <v>Average of Vegetables</v>
      </c>
    </row>
    <row r="17" spans="15:17" x14ac:dyDescent="0.3">
      <c r="P17" s="2"/>
    </row>
    <row r="18" spans="15:17" ht="18" x14ac:dyDescent="0.35">
      <c r="O18" t="s">
        <v>83</v>
      </c>
      <c r="P18" s="13">
        <f>MAX(P5:P16)</f>
        <v>11.23333333333332</v>
      </c>
    </row>
    <row r="19" spans="15:17" ht="18" x14ac:dyDescent="0.35">
      <c r="O19" t="s">
        <v>84</v>
      </c>
      <c r="P19" s="12" t="s">
        <v>25</v>
      </c>
    </row>
    <row r="21" spans="15:17" x14ac:dyDescent="0.3">
      <c r="O21" s="25" t="s">
        <v>86</v>
      </c>
      <c r="P21" s="25"/>
      <c r="Q21" s="25"/>
    </row>
  </sheetData>
  <mergeCells count="1">
    <mergeCell ref="O21:Q2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8EE69-A10C-4594-8882-0AB6E931DCF4}">
  <dimension ref="A3:O43"/>
  <sheetViews>
    <sheetView topLeftCell="A15" zoomScale="93" zoomScaleNormal="100" workbookViewId="0">
      <selection activeCell="E22" sqref="E22"/>
    </sheetView>
  </sheetViews>
  <sheetFormatPr defaultRowHeight="14.4" x14ac:dyDescent="0.3"/>
  <cols>
    <col min="1" max="1" width="17.6640625" bestFit="1" customWidth="1"/>
    <col min="2" max="2" width="22.33203125" bestFit="1" customWidth="1"/>
    <col min="3" max="3" width="14.88671875" bestFit="1" customWidth="1"/>
    <col min="4" max="4" width="16.33203125" bestFit="1" customWidth="1"/>
    <col min="5" max="5" width="17.77734375" bestFit="1" customWidth="1"/>
    <col min="6" max="6" width="19" bestFit="1" customWidth="1"/>
    <col min="7" max="7" width="17.5546875" bestFit="1" customWidth="1"/>
    <col min="8" max="8" width="22.21875" bestFit="1" customWidth="1"/>
    <col min="9" max="9" width="36.77734375" bestFit="1" customWidth="1"/>
    <col min="10" max="10" width="36.6640625" bestFit="1" customWidth="1"/>
    <col min="11" max="11" width="34.6640625" bestFit="1" customWidth="1"/>
    <col min="12" max="12" width="19.21875" bestFit="1" customWidth="1"/>
    <col min="13" max="13" width="32.33203125" bestFit="1" customWidth="1"/>
    <col min="14" max="14" width="23" bestFit="1" customWidth="1"/>
    <col min="15" max="15" width="22.6640625" bestFit="1" customWidth="1"/>
  </cols>
  <sheetData>
    <row r="3" spans="1:15" x14ac:dyDescent="0.3">
      <c r="A3" s="3" t="s">
        <v>50</v>
      </c>
      <c r="B3" t="s">
        <v>77</v>
      </c>
      <c r="C3" t="s">
        <v>52</v>
      </c>
      <c r="D3" t="s">
        <v>69</v>
      </c>
      <c r="E3" t="s">
        <v>64</v>
      </c>
      <c r="F3" t="s">
        <v>65</v>
      </c>
      <c r="G3" t="s">
        <v>66</v>
      </c>
      <c r="H3" t="s">
        <v>67</v>
      </c>
      <c r="I3" t="s">
        <v>68</v>
      </c>
      <c r="J3" t="s">
        <v>70</v>
      </c>
      <c r="K3" t="s">
        <v>74</v>
      </c>
      <c r="L3" t="s">
        <v>75</v>
      </c>
      <c r="M3" t="s">
        <v>71</v>
      </c>
      <c r="N3" t="s">
        <v>72</v>
      </c>
      <c r="O3" t="s">
        <v>73</v>
      </c>
    </row>
    <row r="4" spans="1:15" x14ac:dyDescent="0.3">
      <c r="A4" s="8">
        <v>43497</v>
      </c>
      <c r="B4" s="2">
        <v>202.4157142857143</v>
      </c>
      <c r="C4" s="2">
        <v>1920.8000000000002</v>
      </c>
      <c r="D4" s="2">
        <v>144.66666666666666</v>
      </c>
      <c r="E4" s="2">
        <v>147.16666666666666</v>
      </c>
      <c r="F4" s="2">
        <v>138.86666666666667</v>
      </c>
      <c r="G4" s="2">
        <v>145.37333333333333</v>
      </c>
      <c r="H4" s="2">
        <v>136.93333333333334</v>
      </c>
      <c r="I4" s="2">
        <v>143.46666666666667</v>
      </c>
      <c r="J4" s="2">
        <v>124.10000000000001</v>
      </c>
      <c r="K4" s="2">
        <v>137.56666666666663</v>
      </c>
      <c r="L4" s="2">
        <v>150.79999999999998</v>
      </c>
      <c r="M4" s="2">
        <v>134</v>
      </c>
      <c r="N4" s="2">
        <v>137.33333333333334</v>
      </c>
      <c r="O4" s="2">
        <v>139.83333333333334</v>
      </c>
    </row>
    <row r="5" spans="1:15" x14ac:dyDescent="0.3">
      <c r="A5" s="8">
        <v>43525</v>
      </c>
      <c r="B5" s="2">
        <v>203.09428571428575</v>
      </c>
      <c r="C5" s="2">
        <v>1928.0666666666668</v>
      </c>
      <c r="D5" s="2">
        <v>145.26666666666665</v>
      </c>
      <c r="E5" s="2">
        <v>147.4</v>
      </c>
      <c r="F5" s="2">
        <v>139.06666666666669</v>
      </c>
      <c r="G5" s="2">
        <v>145.70666666666668</v>
      </c>
      <c r="H5" s="2">
        <v>138.29999999999998</v>
      </c>
      <c r="I5" s="2">
        <v>143.53333333333333</v>
      </c>
      <c r="J5" s="2">
        <v>124.8</v>
      </c>
      <c r="K5" s="2">
        <v>138.16666666666666</v>
      </c>
      <c r="L5" s="2">
        <v>150.83333333333334</v>
      </c>
      <c r="M5" s="2">
        <v>133.29999999999998</v>
      </c>
      <c r="N5" s="2">
        <v>137.63333333333333</v>
      </c>
      <c r="O5" s="2">
        <v>140.36666666666665</v>
      </c>
    </row>
    <row r="6" spans="1:15" x14ac:dyDescent="0.3">
      <c r="A6" s="8">
        <v>43586</v>
      </c>
      <c r="B6" s="2">
        <v>205.66571428571424</v>
      </c>
      <c r="C6" s="2">
        <v>1959.7</v>
      </c>
      <c r="D6" s="2">
        <v>146.00000000000003</v>
      </c>
      <c r="E6" s="2">
        <v>147.9</v>
      </c>
      <c r="F6" s="2">
        <v>139.56666666666669</v>
      </c>
      <c r="G6" s="2">
        <v>146.44</v>
      </c>
      <c r="H6" s="2">
        <v>138.86666666666667</v>
      </c>
      <c r="I6" s="2">
        <v>143.46666666666667</v>
      </c>
      <c r="J6" s="2">
        <v>125.06666666666666</v>
      </c>
      <c r="K6" s="2">
        <v>139.70000000000002</v>
      </c>
      <c r="L6" s="2">
        <v>152.1</v>
      </c>
      <c r="M6" s="2">
        <v>133.29999999999998</v>
      </c>
      <c r="N6" s="2">
        <v>138.13333333333333</v>
      </c>
      <c r="O6" s="2">
        <v>141.96666666666667</v>
      </c>
    </row>
    <row r="7" spans="1:15" x14ac:dyDescent="0.3">
      <c r="A7" s="8">
        <v>43617</v>
      </c>
      <c r="B7" s="2">
        <v>207.45857142857139</v>
      </c>
      <c r="C7" s="2">
        <v>1982.4666666666665</v>
      </c>
      <c r="D7" s="2">
        <v>146.46666666666667</v>
      </c>
      <c r="E7" s="2">
        <v>148.1</v>
      </c>
      <c r="F7" s="2">
        <v>139.53333333333333</v>
      </c>
      <c r="G7" s="2">
        <v>145.97333333333333</v>
      </c>
      <c r="H7" s="2">
        <v>139.83333333333334</v>
      </c>
      <c r="I7" s="2">
        <v>143.60000000000002</v>
      </c>
      <c r="J7" s="2">
        <v>124.8</v>
      </c>
      <c r="K7" s="2">
        <v>140.1</v>
      </c>
      <c r="L7" s="2">
        <v>153.03333333333333</v>
      </c>
      <c r="M7" s="2">
        <v>134.26666666666668</v>
      </c>
      <c r="N7" s="2">
        <v>138.5</v>
      </c>
      <c r="O7" s="2">
        <v>142.86666666666667</v>
      </c>
    </row>
    <row r="8" spans="1:15" x14ac:dyDescent="0.3">
      <c r="A8" s="8">
        <v>43647</v>
      </c>
      <c r="B8" s="2">
        <v>209.40976190476189</v>
      </c>
      <c r="C8" s="2">
        <v>2006.2333333333333</v>
      </c>
      <c r="D8" s="2">
        <v>146.96666666666667</v>
      </c>
      <c r="E8" s="2">
        <v>148.4</v>
      </c>
      <c r="F8" s="2">
        <v>139.66666666666666</v>
      </c>
      <c r="G8" s="2">
        <v>146.77333333333334</v>
      </c>
      <c r="H8" s="2">
        <v>137.70000000000002</v>
      </c>
      <c r="I8" s="2">
        <v>143.96666666666667</v>
      </c>
      <c r="J8" s="2">
        <v>125.8</v>
      </c>
      <c r="K8" s="2">
        <v>141</v>
      </c>
      <c r="L8" s="2">
        <v>154.5</v>
      </c>
      <c r="M8" s="2">
        <v>135.63333333333333</v>
      </c>
      <c r="N8" s="2">
        <v>139.4</v>
      </c>
      <c r="O8" s="2">
        <v>144.13333333333333</v>
      </c>
    </row>
    <row r="9" spans="1:15" x14ac:dyDescent="0.3">
      <c r="A9" s="8">
        <v>43678</v>
      </c>
      <c r="B9" s="2">
        <v>210.38119047619045</v>
      </c>
      <c r="C9" s="2">
        <v>2016.3000000000002</v>
      </c>
      <c r="D9" s="2">
        <v>147.56666666666666</v>
      </c>
      <c r="E9" s="2">
        <v>148.63333333333335</v>
      </c>
      <c r="F9" s="2">
        <v>139.79999999999998</v>
      </c>
      <c r="G9" s="2">
        <v>147.44</v>
      </c>
      <c r="H9" s="2">
        <v>136.79999999999998</v>
      </c>
      <c r="I9" s="2">
        <v>144.26666666666668</v>
      </c>
      <c r="J9" s="2">
        <v>126</v>
      </c>
      <c r="K9" s="2">
        <v>141.43333333333334</v>
      </c>
      <c r="L9" s="2">
        <v>155.36666666666665</v>
      </c>
      <c r="M9" s="2">
        <v>138.33333333333334</v>
      </c>
      <c r="N9" s="2">
        <v>140.13333333333333</v>
      </c>
      <c r="O9" s="2">
        <v>144.96666666666667</v>
      </c>
    </row>
    <row r="10" spans="1:15" x14ac:dyDescent="0.3">
      <c r="A10" s="8">
        <v>43709</v>
      </c>
      <c r="B10" s="2">
        <v>211.36928571428567</v>
      </c>
      <c r="C10" s="2">
        <v>2027.3666666666668</v>
      </c>
      <c r="D10" s="2">
        <v>148.1</v>
      </c>
      <c r="E10" s="2">
        <v>148.73333333333332</v>
      </c>
      <c r="F10" s="2">
        <v>139.79999999999998</v>
      </c>
      <c r="G10" s="2">
        <v>147.84</v>
      </c>
      <c r="H10" s="2">
        <v>137.56666666666663</v>
      </c>
      <c r="I10" s="2">
        <v>144.4</v>
      </c>
      <c r="J10" s="2">
        <v>126.3</v>
      </c>
      <c r="K10" s="2">
        <v>141.83333333333334</v>
      </c>
      <c r="L10" s="2">
        <v>155.66666666666666</v>
      </c>
      <c r="M10" s="2">
        <v>139.63333333333333</v>
      </c>
      <c r="N10" s="2">
        <v>140.6</v>
      </c>
      <c r="O10" s="2">
        <v>145.73333333333332</v>
      </c>
    </row>
    <row r="11" spans="1:15" x14ac:dyDescent="0.3">
      <c r="A11" s="8">
        <v>43739</v>
      </c>
      <c r="B11" s="2">
        <v>213.63833333333324</v>
      </c>
      <c r="C11" s="2">
        <v>2055.9333333333334</v>
      </c>
      <c r="D11" s="2">
        <v>148.5</v>
      </c>
      <c r="E11" s="2">
        <v>149</v>
      </c>
      <c r="F11" s="2">
        <v>139.96666666666667</v>
      </c>
      <c r="G11" s="2">
        <v>148.37333333333333</v>
      </c>
      <c r="H11" s="2">
        <v>139.06666666666666</v>
      </c>
      <c r="I11" s="2">
        <v>144.76666666666665</v>
      </c>
      <c r="J11" s="2">
        <v>126.5</v>
      </c>
      <c r="K11" s="2">
        <v>142.19999999999999</v>
      </c>
      <c r="L11" s="2">
        <v>155.93333333333334</v>
      </c>
      <c r="M11" s="2">
        <v>139.93333333333334</v>
      </c>
      <c r="N11" s="2">
        <v>140.9</v>
      </c>
      <c r="O11" s="2">
        <v>147.16666666666666</v>
      </c>
    </row>
    <row r="12" spans="1:15" x14ac:dyDescent="0.3">
      <c r="A12" s="8">
        <v>43770</v>
      </c>
      <c r="B12" s="2">
        <v>215.71452380952383</v>
      </c>
      <c r="C12" s="2">
        <v>2081.5</v>
      </c>
      <c r="D12" s="2">
        <v>149.00000000000003</v>
      </c>
      <c r="E12" s="2">
        <v>149.50000000000003</v>
      </c>
      <c r="F12" s="2">
        <v>140.20000000000002</v>
      </c>
      <c r="G12" s="2">
        <v>148.70666666666668</v>
      </c>
      <c r="H12" s="2">
        <v>140.96666666666667</v>
      </c>
      <c r="I12" s="2">
        <v>145.1</v>
      </c>
      <c r="J12" s="2">
        <v>126.8</v>
      </c>
      <c r="K12" s="2">
        <v>142.63333333333333</v>
      </c>
      <c r="L12" s="2">
        <v>156.03333333333333</v>
      </c>
      <c r="M12" s="2">
        <v>140.23333333333335</v>
      </c>
      <c r="N12" s="2">
        <v>141.23333333333335</v>
      </c>
      <c r="O12" s="2">
        <v>148.5</v>
      </c>
    </row>
    <row r="13" spans="1:15" x14ac:dyDescent="0.3">
      <c r="A13" s="8">
        <v>43800</v>
      </c>
      <c r="B13" s="2">
        <v>218.58952380952383</v>
      </c>
      <c r="C13" s="2">
        <v>2116.8333333333335</v>
      </c>
      <c r="D13" s="2">
        <v>149.46666666666667</v>
      </c>
      <c r="E13" s="2">
        <v>149.9</v>
      </c>
      <c r="F13" s="2">
        <v>140.46666666666667</v>
      </c>
      <c r="G13" s="2">
        <v>148.24</v>
      </c>
      <c r="H13" s="2">
        <v>142.39999999999998</v>
      </c>
      <c r="I13" s="2">
        <v>145.6</v>
      </c>
      <c r="J13" s="2">
        <v>130</v>
      </c>
      <c r="K13" s="2">
        <v>142.86666666666667</v>
      </c>
      <c r="L13" s="2">
        <v>156.23333333333335</v>
      </c>
      <c r="M13" s="2">
        <v>140.4</v>
      </c>
      <c r="N13" s="2">
        <v>142.43333333333331</v>
      </c>
      <c r="O13" s="2">
        <v>150.33333333333334</v>
      </c>
    </row>
    <row r="14" spans="1:15" x14ac:dyDescent="0.3">
      <c r="A14" s="8">
        <v>43831</v>
      </c>
      <c r="B14" s="2">
        <v>218.46095238095236</v>
      </c>
      <c r="C14" s="2">
        <v>2110.9999999999995</v>
      </c>
      <c r="D14" s="2">
        <v>150.23333333333332</v>
      </c>
      <c r="E14" s="2">
        <v>150.1</v>
      </c>
      <c r="F14" s="2">
        <v>140.70000000000002</v>
      </c>
      <c r="G14" s="2">
        <v>148.97333333333333</v>
      </c>
      <c r="H14" s="2">
        <v>143.36666666666667</v>
      </c>
      <c r="I14" s="2">
        <v>145.99999999999997</v>
      </c>
      <c r="J14" s="2">
        <v>131.1</v>
      </c>
      <c r="K14" s="2">
        <v>143.36666666666667</v>
      </c>
      <c r="L14" s="2">
        <v>156.63333333333333</v>
      </c>
      <c r="M14" s="2">
        <v>142.29999999999998</v>
      </c>
      <c r="N14" s="2">
        <v>143.29999999999998</v>
      </c>
      <c r="O14" s="2">
        <v>150.1</v>
      </c>
    </row>
    <row r="15" spans="1:15" x14ac:dyDescent="0.3">
      <c r="A15" s="8">
        <v>43862</v>
      </c>
      <c r="B15" s="2">
        <v>216.65261904761897</v>
      </c>
      <c r="C15" s="2">
        <v>2083.1666666666665</v>
      </c>
      <c r="D15" s="2">
        <v>150.76666666666668</v>
      </c>
      <c r="E15" s="2">
        <v>150.36666666666667</v>
      </c>
      <c r="F15" s="2">
        <v>140.9</v>
      </c>
      <c r="G15" s="2">
        <v>149.57333333333335</v>
      </c>
      <c r="H15" s="2">
        <v>146.13333333333335</v>
      </c>
      <c r="I15" s="2">
        <v>146.20000000000002</v>
      </c>
      <c r="J15" s="2">
        <v>130.5</v>
      </c>
      <c r="K15" s="2">
        <v>143.76666666666665</v>
      </c>
      <c r="L15" s="2">
        <v>156.76666666666665</v>
      </c>
      <c r="M15" s="2">
        <v>143.43333333333331</v>
      </c>
      <c r="N15" s="2">
        <v>143.46666666666667</v>
      </c>
      <c r="O15" s="2">
        <v>149.06666666666663</v>
      </c>
    </row>
    <row r="16" spans="1:15" x14ac:dyDescent="0.3">
      <c r="A16" s="35">
        <v>43891</v>
      </c>
      <c r="B16" s="2">
        <v>215.71809523809523</v>
      </c>
      <c r="C16" s="2">
        <v>2067.833333333333</v>
      </c>
      <c r="D16" s="2">
        <v>151.33333333333334</v>
      </c>
      <c r="E16" s="2">
        <v>150.76666666666665</v>
      </c>
      <c r="F16" s="2">
        <v>141.10000000000002</v>
      </c>
      <c r="G16" s="2">
        <v>149.37333333333333</v>
      </c>
      <c r="H16" s="2">
        <v>147.9</v>
      </c>
      <c r="I16" s="2">
        <v>146.23333333333335</v>
      </c>
      <c r="J16" s="2">
        <v>130.1</v>
      </c>
      <c r="K16" s="2">
        <v>144.26666666666668</v>
      </c>
      <c r="L16" s="2">
        <v>156.6</v>
      </c>
      <c r="M16" s="2">
        <v>145.20000000000002</v>
      </c>
      <c r="N16" s="2">
        <v>143.70000000000002</v>
      </c>
      <c r="O16" s="2">
        <v>148.56666666666666</v>
      </c>
    </row>
    <row r="17" spans="1:15" x14ac:dyDescent="0.3">
      <c r="A17" s="8">
        <v>43983</v>
      </c>
      <c r="B17" s="2">
        <v>222.80738095238095</v>
      </c>
      <c r="C17" s="2">
        <v>2155.1333333333332</v>
      </c>
      <c r="D17" s="2">
        <v>153.56666666666666</v>
      </c>
      <c r="E17" s="2">
        <v>152.1</v>
      </c>
      <c r="F17" s="2">
        <v>143.66666666666666</v>
      </c>
      <c r="G17" s="2">
        <v>149.50666666666666</v>
      </c>
      <c r="H17" s="2">
        <v>141.29999999999998</v>
      </c>
      <c r="I17" s="2">
        <v>146.16666666666666</v>
      </c>
      <c r="J17" s="2">
        <v>135.23333333333335</v>
      </c>
      <c r="K17" s="2">
        <v>148.66666666666666</v>
      </c>
      <c r="L17" s="2">
        <v>156.9</v>
      </c>
      <c r="M17" s="2">
        <v>151.66666666666666</v>
      </c>
      <c r="N17" s="2">
        <v>146.9</v>
      </c>
      <c r="O17" s="2">
        <v>151.76666666666668</v>
      </c>
    </row>
    <row r="18" spans="1:15" x14ac:dyDescent="0.3">
      <c r="A18" s="8">
        <v>44013</v>
      </c>
      <c r="B18" s="2">
        <v>222.80738095238095</v>
      </c>
      <c r="C18" s="2">
        <v>2155.1333333333332</v>
      </c>
      <c r="D18" s="2">
        <v>153.56666666666666</v>
      </c>
      <c r="E18" s="2">
        <v>152.1</v>
      </c>
      <c r="F18" s="2">
        <v>143.66666666666666</v>
      </c>
      <c r="G18" s="2">
        <v>149.50666666666666</v>
      </c>
      <c r="H18" s="2">
        <v>141.29999999999998</v>
      </c>
      <c r="I18" s="2">
        <v>146.16666666666666</v>
      </c>
      <c r="J18" s="2">
        <v>135.23333333333335</v>
      </c>
      <c r="K18" s="2">
        <v>148.66666666666666</v>
      </c>
      <c r="L18" s="2">
        <v>156.9</v>
      </c>
      <c r="M18" s="2">
        <v>151.66666666666666</v>
      </c>
      <c r="N18" s="2">
        <v>146.9</v>
      </c>
      <c r="O18" s="2">
        <v>151.76666666666668</v>
      </c>
    </row>
    <row r="19" spans="1:15" x14ac:dyDescent="0.3">
      <c r="A19" s="8">
        <v>44044</v>
      </c>
      <c r="B19" s="2">
        <v>225.31809523809522</v>
      </c>
      <c r="C19" s="2">
        <v>2183.1333333333332</v>
      </c>
      <c r="D19" s="2">
        <v>154.16666666666666</v>
      </c>
      <c r="E19" s="2">
        <v>152.73333333333335</v>
      </c>
      <c r="F19" s="2">
        <v>142.63333333333335</v>
      </c>
      <c r="G19" s="2">
        <v>150.04</v>
      </c>
      <c r="H19" s="2">
        <v>142.36666666666667</v>
      </c>
      <c r="I19" s="2">
        <v>148.26666666666665</v>
      </c>
      <c r="J19" s="2">
        <v>138.66666666666666</v>
      </c>
      <c r="K19" s="2">
        <v>146.46666666666667</v>
      </c>
      <c r="L19" s="2">
        <v>158.9</v>
      </c>
      <c r="M19" s="2">
        <v>154.36666666666667</v>
      </c>
      <c r="N19" s="2">
        <v>148.93333333333334</v>
      </c>
      <c r="O19" s="2">
        <v>153.83333333333334</v>
      </c>
    </row>
    <row r="20" spans="1:15" x14ac:dyDescent="0.3">
      <c r="A20" s="8">
        <v>44075</v>
      </c>
      <c r="B20" s="2">
        <v>226.66928571428571</v>
      </c>
      <c r="C20" s="2">
        <v>2197.3333333333335</v>
      </c>
      <c r="D20" s="2">
        <v>154.9</v>
      </c>
      <c r="E20" s="2">
        <v>153</v>
      </c>
      <c r="F20" s="2">
        <v>143.5</v>
      </c>
      <c r="G20" s="2">
        <v>150.57333333333335</v>
      </c>
      <c r="H20" s="2">
        <v>142.16666666666666</v>
      </c>
      <c r="I20" s="2">
        <v>148.56666666666669</v>
      </c>
      <c r="J20" s="2">
        <v>139.76666666666665</v>
      </c>
      <c r="K20" s="2">
        <v>147.06666666666666</v>
      </c>
      <c r="L20" s="2">
        <v>157.83333333333334</v>
      </c>
      <c r="M20" s="2">
        <v>158.53333333333333</v>
      </c>
      <c r="N20" s="2">
        <v>149.9</v>
      </c>
      <c r="O20" s="2">
        <v>154.70000000000002</v>
      </c>
    </row>
    <row r="21" spans="1:15" x14ac:dyDescent="0.3">
      <c r="A21" s="8">
        <v>44105</v>
      </c>
      <c r="B21" s="2">
        <v>229.7692857142857</v>
      </c>
      <c r="C21" s="2">
        <v>2238.4666666666667</v>
      </c>
      <c r="D21" s="2">
        <v>155.6</v>
      </c>
      <c r="E21" s="2">
        <v>153.29999999999998</v>
      </c>
      <c r="F21" s="2">
        <v>143.76666666666665</v>
      </c>
      <c r="G21" s="2">
        <v>150.70666666666668</v>
      </c>
      <c r="H21" s="2">
        <v>142.33333333333334</v>
      </c>
      <c r="I21" s="2">
        <v>148.6</v>
      </c>
      <c r="J21" s="2">
        <v>140.79999999999998</v>
      </c>
      <c r="K21" s="2">
        <v>146.96666666666667</v>
      </c>
      <c r="L21" s="2">
        <v>158.9</v>
      </c>
      <c r="M21" s="2">
        <v>157.1</v>
      </c>
      <c r="N21" s="2">
        <v>150.30000000000001</v>
      </c>
      <c r="O21" s="2">
        <v>156.36666666666667</v>
      </c>
    </row>
    <row r="22" spans="1:15" x14ac:dyDescent="0.3">
      <c r="A22" s="8">
        <v>44136</v>
      </c>
      <c r="B22" s="2">
        <v>233.3942857142857</v>
      </c>
      <c r="C22" s="2">
        <v>2285.2333333333331</v>
      </c>
      <c r="D22" s="2">
        <v>156.53333333333333</v>
      </c>
      <c r="E22" s="2">
        <v>153.9</v>
      </c>
      <c r="F22" s="2">
        <v>144.1</v>
      </c>
      <c r="G22" s="2">
        <v>151.70666666666668</v>
      </c>
      <c r="H22" s="2">
        <v>142.79999999999998</v>
      </c>
      <c r="I22" s="2">
        <v>149.03333333333333</v>
      </c>
      <c r="J22" s="2">
        <v>140.56666666666669</v>
      </c>
      <c r="K22" s="2">
        <v>148.79999999999998</v>
      </c>
      <c r="L22" s="2">
        <v>158.86666666666667</v>
      </c>
      <c r="M22" s="2">
        <v>157</v>
      </c>
      <c r="N22" s="2">
        <v>150.6</v>
      </c>
      <c r="O22" s="2">
        <v>158.30000000000001</v>
      </c>
    </row>
    <row r="23" spans="1:15" x14ac:dyDescent="0.3">
      <c r="A23" s="8">
        <v>44166</v>
      </c>
      <c r="B23" s="2">
        <v>234.57047619047614</v>
      </c>
      <c r="C23" s="2">
        <v>2298.0666666666671</v>
      </c>
      <c r="D23" s="2">
        <v>157.60000000000002</v>
      </c>
      <c r="E23" s="2">
        <v>154.63333333333333</v>
      </c>
      <c r="F23" s="2">
        <v>144.56666666666669</v>
      </c>
      <c r="G23" s="2">
        <v>151.97333333333333</v>
      </c>
      <c r="H23" s="2">
        <v>143.73333333333332</v>
      </c>
      <c r="I23" s="2">
        <v>149.53333333333333</v>
      </c>
      <c r="J23" s="2">
        <v>140.86666666666667</v>
      </c>
      <c r="K23" s="2">
        <v>148.9</v>
      </c>
      <c r="L23" s="2">
        <v>159.73333333333335</v>
      </c>
      <c r="M23" s="2">
        <v>157.20000000000002</v>
      </c>
      <c r="N23" s="2">
        <v>151.1</v>
      </c>
      <c r="O23" s="2">
        <v>158.83333333333334</v>
      </c>
    </row>
    <row r="24" spans="1:15" x14ac:dyDescent="0.3">
      <c r="A24" s="8">
        <v>44197</v>
      </c>
      <c r="B24" s="2">
        <v>232.63714285714286</v>
      </c>
      <c r="C24" s="2">
        <v>2267.3666666666668</v>
      </c>
      <c r="D24" s="2">
        <v>158.63333333333333</v>
      </c>
      <c r="E24" s="2">
        <v>155.16666666666666</v>
      </c>
      <c r="F24" s="2">
        <v>145.26666666666665</v>
      </c>
      <c r="G24" s="2">
        <v>151.50666666666666</v>
      </c>
      <c r="H24" s="2">
        <v>147.23333333333335</v>
      </c>
      <c r="I24" s="2">
        <v>149.86666666666667</v>
      </c>
      <c r="J24" s="2">
        <v>142.1</v>
      </c>
      <c r="K24" s="2">
        <v>150.03333333333333</v>
      </c>
      <c r="L24" s="2">
        <v>159.6</v>
      </c>
      <c r="M24" s="2">
        <v>156.9</v>
      </c>
      <c r="N24" s="2">
        <v>151.79999999999998</v>
      </c>
      <c r="O24" s="2">
        <v>157.26666666666668</v>
      </c>
    </row>
    <row r="25" spans="1:15" x14ac:dyDescent="0.3">
      <c r="A25" s="8">
        <v>44228</v>
      </c>
      <c r="B25" s="2">
        <v>230.84309523809529</v>
      </c>
      <c r="C25" s="2">
        <v>2232.9</v>
      </c>
      <c r="D25" s="2">
        <v>160.63333333333335</v>
      </c>
      <c r="E25" s="2">
        <v>156.83333333333334</v>
      </c>
      <c r="F25" s="2">
        <v>146.5</v>
      </c>
      <c r="G25" s="2">
        <v>152.90666666666667</v>
      </c>
      <c r="H25" s="2">
        <v>151.96666666666667</v>
      </c>
      <c r="I25" s="2">
        <v>150.73333333333332</v>
      </c>
      <c r="J25" s="2">
        <v>145.26666666666668</v>
      </c>
      <c r="K25" s="2">
        <v>151.93333333333334</v>
      </c>
      <c r="L25" s="2">
        <v>159.9</v>
      </c>
      <c r="M25" s="2">
        <v>155.9</v>
      </c>
      <c r="N25" s="2">
        <v>153.30000000000001</v>
      </c>
      <c r="O25" s="2">
        <v>156.6</v>
      </c>
    </row>
    <row r="26" spans="1:15" x14ac:dyDescent="0.3">
      <c r="A26" s="8">
        <v>44256</v>
      </c>
      <c r="B26" s="2">
        <v>231.08</v>
      </c>
      <c r="C26" s="2">
        <v>2232.4333333333334</v>
      </c>
      <c r="D26" s="2">
        <v>161.06666666666669</v>
      </c>
      <c r="E26" s="2">
        <v>157.5</v>
      </c>
      <c r="F26" s="2">
        <v>147</v>
      </c>
      <c r="G26" s="2">
        <v>152.97333333333333</v>
      </c>
      <c r="H26" s="2">
        <v>155.43333333333334</v>
      </c>
      <c r="I26" s="2">
        <v>151.06666666666666</v>
      </c>
      <c r="J26" s="2">
        <v>146.4</v>
      </c>
      <c r="K26" s="2">
        <v>153</v>
      </c>
      <c r="L26" s="2">
        <v>160.53333333333333</v>
      </c>
      <c r="M26" s="2">
        <v>153.93333333333337</v>
      </c>
      <c r="N26" s="2">
        <v>153.70000000000002</v>
      </c>
      <c r="O26" s="2">
        <v>156.80000000000001</v>
      </c>
    </row>
    <row r="27" spans="1:15" x14ac:dyDescent="0.3">
      <c r="A27" s="8">
        <v>44287</v>
      </c>
      <c r="B27" s="2">
        <v>233.21333333333337</v>
      </c>
      <c r="C27" s="2">
        <v>2257.7333333333331</v>
      </c>
      <c r="D27" s="2">
        <v>161.70000000000002</v>
      </c>
      <c r="E27" s="2">
        <v>158.46666666666667</v>
      </c>
      <c r="F27" s="2">
        <v>147.63333333333333</v>
      </c>
      <c r="G27" s="2">
        <v>153.97333333333333</v>
      </c>
      <c r="H27" s="2">
        <v>155.5</v>
      </c>
      <c r="I27" s="2">
        <v>151.63333333333333</v>
      </c>
      <c r="J27" s="2">
        <v>146.79999999999998</v>
      </c>
      <c r="K27" s="2">
        <v>153.63333333333333</v>
      </c>
      <c r="L27" s="2">
        <v>160.66666666666666</v>
      </c>
      <c r="M27" s="2">
        <v>155.53333333333333</v>
      </c>
      <c r="N27" s="2">
        <v>154.29999999999998</v>
      </c>
      <c r="O27" s="2">
        <v>157.79999999999998</v>
      </c>
    </row>
    <row r="28" spans="1:15" x14ac:dyDescent="0.3">
      <c r="A28" s="8">
        <v>44317</v>
      </c>
      <c r="B28" s="2">
        <v>237.51928571428576</v>
      </c>
      <c r="C28" s="2">
        <v>2301.7999999999997</v>
      </c>
      <c r="D28" s="2">
        <v>165.10000000000002</v>
      </c>
      <c r="E28" s="2">
        <v>161.20000000000002</v>
      </c>
      <c r="F28" s="2">
        <v>150.96666666666667</v>
      </c>
      <c r="G28" s="2">
        <v>154.10666666666665</v>
      </c>
      <c r="H28" s="2">
        <v>158.86666666666665</v>
      </c>
      <c r="I28" s="2">
        <v>154.53333333333333</v>
      </c>
      <c r="J28" s="2">
        <v>149.03333333333333</v>
      </c>
      <c r="K28" s="2">
        <v>156.13333333333333</v>
      </c>
      <c r="L28" s="2">
        <v>161.79999999999998</v>
      </c>
      <c r="M28" s="2">
        <v>158.46666666666667</v>
      </c>
      <c r="N28" s="2">
        <v>156.73333333333335</v>
      </c>
      <c r="O28" s="2">
        <v>160.33333333333334</v>
      </c>
    </row>
    <row r="43" spans="1:3" x14ac:dyDescent="0.3">
      <c r="A43" s="36" t="s">
        <v>125</v>
      </c>
      <c r="B43" s="36"/>
      <c r="C43" s="36"/>
    </row>
  </sheetData>
  <mergeCells count="1">
    <mergeCell ref="A43:C4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E3CB1-7CF8-42B0-876D-E8DAD6A69C18}">
  <dimension ref="A3:Q52"/>
  <sheetViews>
    <sheetView topLeftCell="B34" workbookViewId="0">
      <selection activeCell="E49" sqref="E49"/>
    </sheetView>
  </sheetViews>
  <sheetFormatPr defaultRowHeight="14.4" x14ac:dyDescent="0.3"/>
  <cols>
    <col min="1" max="1" width="13.77734375" bestFit="1" customWidth="1"/>
    <col min="2" max="2" width="22.109375" bestFit="1" customWidth="1"/>
    <col min="3" max="3" width="14.88671875" bestFit="1" customWidth="1"/>
    <col min="4" max="4" width="17.77734375" bestFit="1" customWidth="1"/>
    <col min="5" max="5" width="18.6640625" bestFit="1" customWidth="1"/>
    <col min="6" max="6" width="17.5546875" bestFit="1" customWidth="1"/>
    <col min="7" max="7" width="16.109375" bestFit="1" customWidth="1"/>
    <col min="8" max="8" width="36.6640625" bestFit="1" customWidth="1"/>
    <col min="9" max="9" width="34.33203125" bestFit="1" customWidth="1"/>
    <col min="10" max="10" width="19.21875" bestFit="1" customWidth="1"/>
    <col min="11" max="11" width="32.109375" bestFit="1" customWidth="1"/>
    <col min="12" max="12" width="22.77734375" bestFit="1" customWidth="1"/>
    <col min="13" max="13" width="22.33203125" bestFit="1" customWidth="1"/>
    <col min="14" max="14" width="36.44140625" bestFit="1" customWidth="1"/>
  </cols>
  <sheetData>
    <row r="3" spans="1:15" x14ac:dyDescent="0.3">
      <c r="A3" s="3" t="s">
        <v>50</v>
      </c>
      <c r="B3" t="s">
        <v>67</v>
      </c>
      <c r="C3" t="s">
        <v>52</v>
      </c>
      <c r="D3" t="s">
        <v>64</v>
      </c>
      <c r="E3" t="s">
        <v>65</v>
      </c>
      <c r="F3" t="s">
        <v>66</v>
      </c>
      <c r="G3" t="s">
        <v>69</v>
      </c>
      <c r="H3" t="s">
        <v>70</v>
      </c>
      <c r="I3" t="s">
        <v>74</v>
      </c>
      <c r="J3" t="s">
        <v>75</v>
      </c>
      <c r="K3" t="s">
        <v>71</v>
      </c>
      <c r="L3" t="s">
        <v>72</v>
      </c>
      <c r="M3" t="s">
        <v>73</v>
      </c>
      <c r="N3" t="s">
        <v>68</v>
      </c>
      <c r="O3" t="s">
        <v>183</v>
      </c>
    </row>
    <row r="4" spans="1:15" ht="15.6" x14ac:dyDescent="0.3">
      <c r="A4" s="4">
        <v>2021</v>
      </c>
      <c r="B4" s="2">
        <v>158.70833333333334</v>
      </c>
      <c r="C4" s="2">
        <v>2315.0638888888884</v>
      </c>
      <c r="D4" s="2">
        <v>161.70277777777778</v>
      </c>
      <c r="E4" s="2">
        <v>151.42499999999998</v>
      </c>
      <c r="F4" s="2">
        <v>154.02888888888884</v>
      </c>
      <c r="G4" s="2">
        <v>165.13333333333333</v>
      </c>
      <c r="H4" s="2">
        <v>150.69999999999996</v>
      </c>
      <c r="I4" s="2">
        <v>155.94444444444446</v>
      </c>
      <c r="J4" s="2">
        <v>162.5361111111111</v>
      </c>
      <c r="K4" s="2">
        <v>158.73888888888891</v>
      </c>
      <c r="L4" s="2">
        <v>157.50833333333333</v>
      </c>
      <c r="M4" s="2">
        <v>161.41666666666669</v>
      </c>
      <c r="N4" s="2">
        <v>154.99999999999997</v>
      </c>
      <c r="O4" s="41">
        <v>79.181425130081294</v>
      </c>
    </row>
    <row r="5" spans="1:15" x14ac:dyDescent="0.3">
      <c r="A5" s="5" t="s">
        <v>19</v>
      </c>
      <c r="B5" s="2">
        <v>147.23333333333335</v>
      </c>
      <c r="C5" s="2">
        <v>2267.3666666666668</v>
      </c>
      <c r="D5" s="2">
        <v>155.16666666666666</v>
      </c>
      <c r="E5" s="2">
        <v>145.26666666666665</v>
      </c>
      <c r="F5" s="2">
        <v>151.50666666666666</v>
      </c>
      <c r="G5" s="2">
        <v>158.63333333333333</v>
      </c>
      <c r="H5" s="2">
        <v>142.1</v>
      </c>
      <c r="I5" s="2">
        <v>150.03333333333333</v>
      </c>
      <c r="J5" s="2">
        <v>159.6</v>
      </c>
      <c r="K5" s="2">
        <v>156.9</v>
      </c>
      <c r="L5" s="2">
        <v>151.79999999999998</v>
      </c>
      <c r="M5" s="2">
        <v>157.26666666666668</v>
      </c>
      <c r="N5" s="2">
        <v>149.86666666666667</v>
      </c>
      <c r="O5" s="50">
        <v>84.666318799999985</v>
      </c>
    </row>
    <row r="6" spans="1:15" x14ac:dyDescent="0.3">
      <c r="A6" s="5" t="s">
        <v>35</v>
      </c>
      <c r="B6" s="2">
        <v>151.96666666666667</v>
      </c>
      <c r="C6" s="2">
        <v>2232.9</v>
      </c>
      <c r="D6" s="2">
        <v>156.83333333333334</v>
      </c>
      <c r="E6" s="2">
        <v>146.5</v>
      </c>
      <c r="F6" s="2">
        <v>152.90666666666667</v>
      </c>
      <c r="G6" s="2">
        <v>160.63333333333335</v>
      </c>
      <c r="H6" s="2">
        <v>145.26666666666668</v>
      </c>
      <c r="I6" s="2">
        <v>151.93333333333334</v>
      </c>
      <c r="J6" s="2">
        <v>159.9</v>
      </c>
      <c r="K6" s="2">
        <v>155.9</v>
      </c>
      <c r="L6" s="2">
        <v>153.30000000000001</v>
      </c>
      <c r="M6" s="2">
        <v>156.6</v>
      </c>
      <c r="N6" s="2">
        <v>150.73333333333332</v>
      </c>
      <c r="O6" s="50">
        <v>94.07</v>
      </c>
    </row>
    <row r="7" spans="1:15" x14ac:dyDescent="0.3">
      <c r="A7" s="5" t="s">
        <v>36</v>
      </c>
      <c r="B7" s="2">
        <v>155.43333333333334</v>
      </c>
      <c r="C7" s="2">
        <v>2232.4333333333334</v>
      </c>
      <c r="D7" s="2">
        <v>157.5</v>
      </c>
      <c r="E7" s="2">
        <v>147</v>
      </c>
      <c r="F7" s="2">
        <v>152.97333333333333</v>
      </c>
      <c r="G7" s="2">
        <v>161.06666666666669</v>
      </c>
      <c r="H7" s="2">
        <v>146.4</v>
      </c>
      <c r="I7" s="2">
        <v>153</v>
      </c>
      <c r="J7" s="2">
        <v>160.53333333333333</v>
      </c>
      <c r="K7" s="2">
        <v>153.93333333333337</v>
      </c>
      <c r="L7" s="2">
        <v>153.70000000000002</v>
      </c>
      <c r="M7" s="2">
        <v>156.80000000000001</v>
      </c>
      <c r="N7" s="2">
        <v>151.06666666666666</v>
      </c>
      <c r="O7" s="50">
        <v>112.87</v>
      </c>
    </row>
    <row r="8" spans="1:15" ht="15.6" x14ac:dyDescent="0.3">
      <c r="A8" s="5" t="s">
        <v>37</v>
      </c>
      <c r="B8" s="2">
        <v>155.5</v>
      </c>
      <c r="C8" s="2">
        <v>2257.7333333333331</v>
      </c>
      <c r="D8" s="2">
        <v>158.46666666666667</v>
      </c>
      <c r="E8" s="2">
        <v>147.63333333333333</v>
      </c>
      <c r="F8" s="2">
        <v>153.97333333333333</v>
      </c>
      <c r="G8" s="2">
        <v>161.70000000000002</v>
      </c>
      <c r="H8" s="2">
        <v>146.79999999999998</v>
      </c>
      <c r="I8" s="2">
        <v>153.63333333333333</v>
      </c>
      <c r="J8" s="2">
        <v>160.66666666666666</v>
      </c>
      <c r="K8" s="2">
        <v>155.53333333333333</v>
      </c>
      <c r="L8" s="2">
        <v>154.29999999999998</v>
      </c>
      <c r="M8" s="2">
        <v>157.79999999999998</v>
      </c>
      <c r="N8" s="2">
        <v>151.63333333333333</v>
      </c>
      <c r="O8" s="40">
        <v>63.396976500000008</v>
      </c>
    </row>
    <row r="9" spans="1:15" ht="15.6" x14ac:dyDescent="0.3">
      <c r="A9" s="5" t="s">
        <v>38</v>
      </c>
      <c r="B9" s="2">
        <v>158.86666666666665</v>
      </c>
      <c r="C9" s="2">
        <v>2301.7999999999997</v>
      </c>
      <c r="D9" s="2">
        <v>161.20000000000002</v>
      </c>
      <c r="E9" s="2">
        <v>150.96666666666667</v>
      </c>
      <c r="F9" s="2">
        <v>154.10666666666665</v>
      </c>
      <c r="G9" s="2">
        <v>165.10000000000002</v>
      </c>
      <c r="H9" s="2">
        <v>149.03333333333333</v>
      </c>
      <c r="I9" s="2">
        <v>156.13333333333333</v>
      </c>
      <c r="J9" s="2">
        <v>161.79999999999998</v>
      </c>
      <c r="K9" s="2">
        <v>158.46666666666667</v>
      </c>
      <c r="L9" s="2">
        <v>156.73333333333335</v>
      </c>
      <c r="M9" s="2">
        <v>160.33333333333334</v>
      </c>
      <c r="N9" s="2">
        <v>154.53333333333333</v>
      </c>
      <c r="O9" s="40">
        <v>66.953084852941174</v>
      </c>
    </row>
    <row r="10" spans="1:15" ht="15.6" x14ac:dyDescent="0.3">
      <c r="A10" s="5" t="s">
        <v>39</v>
      </c>
      <c r="B10" s="2">
        <v>159.33333333333334</v>
      </c>
      <c r="C10" s="2">
        <v>2328.7333333333331</v>
      </c>
      <c r="D10" s="2">
        <v>161.6</v>
      </c>
      <c r="E10" s="2">
        <v>150.73333333333335</v>
      </c>
      <c r="F10" s="2">
        <v>153.37333333333333</v>
      </c>
      <c r="G10" s="2">
        <v>165.6</v>
      </c>
      <c r="H10" s="2">
        <v>150.79999999999998</v>
      </c>
      <c r="I10" s="2">
        <v>155.33333333333334</v>
      </c>
      <c r="J10" s="2">
        <v>162.19999999999999</v>
      </c>
      <c r="K10" s="2">
        <v>158.73333333333335</v>
      </c>
      <c r="L10" s="2">
        <v>157.5</v>
      </c>
      <c r="M10" s="2">
        <v>161.26666666666668</v>
      </c>
      <c r="N10" s="2">
        <v>154.6</v>
      </c>
      <c r="O10" s="40">
        <v>71.982647477272721</v>
      </c>
    </row>
    <row r="11" spans="1:15" ht="15.6" x14ac:dyDescent="0.3">
      <c r="A11" s="5" t="s">
        <v>40</v>
      </c>
      <c r="B11" s="2">
        <v>160.29999999999998</v>
      </c>
      <c r="C11" s="2">
        <v>2342.5333333333333</v>
      </c>
      <c r="D11" s="2">
        <v>162.23333333333335</v>
      </c>
      <c r="E11" s="2">
        <v>152.03333333333333</v>
      </c>
      <c r="F11" s="2">
        <v>154.04</v>
      </c>
      <c r="G11" s="2">
        <v>166.29999999999998</v>
      </c>
      <c r="H11" s="2">
        <v>153.23333333333335</v>
      </c>
      <c r="I11" s="2">
        <v>155.73333333333332</v>
      </c>
      <c r="J11" s="2">
        <v>163.56666666666666</v>
      </c>
      <c r="K11" s="2">
        <v>160.03333333333333</v>
      </c>
      <c r="L11" s="2">
        <v>158.93333333333334</v>
      </c>
      <c r="M11" s="2">
        <v>162.5</v>
      </c>
      <c r="N11" s="2">
        <v>155.6</v>
      </c>
      <c r="O11" s="40">
        <v>73.539060523809511</v>
      </c>
    </row>
    <row r="12" spans="1:15" ht="15.6" x14ac:dyDescent="0.3">
      <c r="A12" s="5" t="s">
        <v>41</v>
      </c>
      <c r="B12" s="2">
        <v>162.13333333333333</v>
      </c>
      <c r="C12" s="2">
        <v>2336.5</v>
      </c>
      <c r="D12" s="2">
        <v>163.76666666666668</v>
      </c>
      <c r="E12" s="2">
        <v>153.83333333333334</v>
      </c>
      <c r="F12" s="2">
        <v>154.44</v>
      </c>
      <c r="G12" s="2">
        <v>167.43333333333337</v>
      </c>
      <c r="H12" s="2">
        <v>154.03333333333333</v>
      </c>
      <c r="I12" s="2">
        <v>157.46666666666667</v>
      </c>
      <c r="J12" s="2">
        <v>163.9</v>
      </c>
      <c r="K12" s="2">
        <v>159.96666666666667</v>
      </c>
      <c r="L12" s="2">
        <v>159.76666666666668</v>
      </c>
      <c r="M12" s="2">
        <v>163.03333333333333</v>
      </c>
      <c r="N12" s="2">
        <v>157.20000000000002</v>
      </c>
      <c r="O12" s="40">
        <v>69.804724424999989</v>
      </c>
    </row>
    <row r="13" spans="1:15" ht="15.6" x14ac:dyDescent="0.3">
      <c r="A13" s="5" t="s">
        <v>42</v>
      </c>
      <c r="B13" s="2">
        <v>162.36666666666665</v>
      </c>
      <c r="C13" s="2">
        <v>2337.5333333333333</v>
      </c>
      <c r="D13" s="2">
        <v>164.03333333333333</v>
      </c>
      <c r="E13" s="2">
        <v>154.16666666666666</v>
      </c>
      <c r="F13" s="2">
        <v>154.44</v>
      </c>
      <c r="G13" s="2">
        <v>167.70000000000002</v>
      </c>
      <c r="H13" s="2">
        <v>154.1</v>
      </c>
      <c r="I13" s="2">
        <v>158.1</v>
      </c>
      <c r="J13" s="2">
        <v>164.16666666666666</v>
      </c>
      <c r="K13" s="2">
        <v>159.93333333333334</v>
      </c>
      <c r="L13" s="2">
        <v>159.93333333333334</v>
      </c>
      <c r="M13" s="2">
        <v>163.16666666666666</v>
      </c>
      <c r="N13" s="2">
        <v>157.36666666666667</v>
      </c>
      <c r="O13" s="40">
        <v>73.130738295454549</v>
      </c>
    </row>
    <row r="14" spans="1:15" ht="15.6" x14ac:dyDescent="0.3">
      <c r="A14" s="5" t="s">
        <v>43</v>
      </c>
      <c r="B14" s="2">
        <v>163.96666666666667</v>
      </c>
      <c r="C14" s="2">
        <v>2373</v>
      </c>
      <c r="D14" s="2">
        <v>165.13333333333333</v>
      </c>
      <c r="E14" s="2">
        <v>155.16666666666669</v>
      </c>
      <c r="F14" s="2">
        <v>155.44</v>
      </c>
      <c r="G14" s="2">
        <v>168.36666666666667</v>
      </c>
      <c r="H14" s="2">
        <v>155.79999999999998</v>
      </c>
      <c r="I14" s="2">
        <v>158.96666666666667</v>
      </c>
      <c r="J14" s="2">
        <v>164.4</v>
      </c>
      <c r="K14" s="2">
        <v>160.73333333333335</v>
      </c>
      <c r="L14" s="2">
        <v>160.9</v>
      </c>
      <c r="M14" s="2">
        <v>165.46666666666667</v>
      </c>
      <c r="N14" s="2">
        <v>158.23333333333335</v>
      </c>
      <c r="O14" s="40">
        <v>82.107393785714294</v>
      </c>
    </row>
    <row r="15" spans="1:15" ht="15.6" x14ac:dyDescent="0.3">
      <c r="A15" s="5" t="s">
        <v>45</v>
      </c>
      <c r="B15" s="2">
        <v>163.6</v>
      </c>
      <c r="C15" s="2">
        <v>2391.7666666666664</v>
      </c>
      <c r="D15" s="2">
        <v>166.63333333333333</v>
      </c>
      <c r="E15" s="2">
        <v>156.23333333333335</v>
      </c>
      <c r="F15" s="2">
        <v>155.84</v>
      </c>
      <c r="G15" s="2">
        <v>169.16666666666666</v>
      </c>
      <c r="H15" s="2">
        <v>154.96666666666667</v>
      </c>
      <c r="I15" s="2">
        <v>160.1</v>
      </c>
      <c r="J15" s="2">
        <v>164.8</v>
      </c>
      <c r="K15" s="2">
        <v>162.13333333333333</v>
      </c>
      <c r="L15" s="2">
        <v>161.30000000000001</v>
      </c>
      <c r="M15" s="2">
        <v>166.63333333333333</v>
      </c>
      <c r="N15" s="2">
        <v>159.13333333333333</v>
      </c>
      <c r="O15" s="40">
        <v>80.637301023809528</v>
      </c>
    </row>
    <row r="16" spans="1:15" ht="15.6" x14ac:dyDescent="0.3">
      <c r="A16" s="5" t="s">
        <v>46</v>
      </c>
      <c r="B16" s="2">
        <v>163.79999999999998</v>
      </c>
      <c r="C16" s="2">
        <v>2378.4666666666667</v>
      </c>
      <c r="D16" s="2">
        <v>167.86666666666667</v>
      </c>
      <c r="E16" s="2">
        <v>157.56666666666666</v>
      </c>
      <c r="F16" s="2">
        <v>155.30666666666667</v>
      </c>
      <c r="G16" s="2">
        <v>169.9</v>
      </c>
      <c r="H16" s="2">
        <v>155.86666666666667</v>
      </c>
      <c r="I16" s="2">
        <v>160.9</v>
      </c>
      <c r="J16" s="2">
        <v>164.9</v>
      </c>
      <c r="K16" s="2">
        <v>162.6</v>
      </c>
      <c r="L16" s="2">
        <v>161.93333333333334</v>
      </c>
      <c r="M16" s="2">
        <v>166.13333333333333</v>
      </c>
      <c r="N16" s="2">
        <v>160.03333333333333</v>
      </c>
      <c r="O16" s="40">
        <v>73.298823523809531</v>
      </c>
    </row>
    <row r="17" spans="1:17" ht="15.6" x14ac:dyDescent="0.3">
      <c r="A17" s="4">
        <v>2022</v>
      </c>
      <c r="B17" s="2">
        <v>174.96944444444446</v>
      </c>
      <c r="C17" s="2">
        <v>2442.1916666666657</v>
      </c>
      <c r="D17" s="2">
        <v>176.59444444444443</v>
      </c>
      <c r="E17" s="2">
        <v>168.74722222222218</v>
      </c>
      <c r="F17" s="2">
        <v>158.40666666666664</v>
      </c>
      <c r="G17" s="2">
        <v>175.35277777777779</v>
      </c>
      <c r="H17" s="2">
        <v>161.24166666666662</v>
      </c>
      <c r="I17" s="2">
        <v>165.9</v>
      </c>
      <c r="J17" s="2">
        <v>170.19722222222219</v>
      </c>
      <c r="K17" s="2">
        <v>169.53611111111113</v>
      </c>
      <c r="L17" s="2">
        <v>167.69722222222225</v>
      </c>
      <c r="M17" s="2">
        <v>172.07500000000005</v>
      </c>
      <c r="N17" s="2">
        <v>166.56666666666663</v>
      </c>
      <c r="O17" s="41">
        <v>93.151566872950767</v>
      </c>
    </row>
    <row r="18" spans="1:17" ht="15.6" x14ac:dyDescent="0.3">
      <c r="A18" s="5" t="s">
        <v>19</v>
      </c>
      <c r="B18" s="2">
        <v>163.86666666666665</v>
      </c>
      <c r="C18" s="2">
        <v>2361.0666666666666</v>
      </c>
      <c r="D18" s="2">
        <v>169.26666666666668</v>
      </c>
      <c r="E18" s="2">
        <v>159.5</v>
      </c>
      <c r="F18" s="2">
        <v>156.04</v>
      </c>
      <c r="G18" s="2">
        <v>170.73333333333335</v>
      </c>
      <c r="H18" s="2">
        <v>156.66666666666666</v>
      </c>
      <c r="I18" s="2">
        <v>161.5</v>
      </c>
      <c r="J18" s="2">
        <v>165.20000000000002</v>
      </c>
      <c r="K18" s="2">
        <v>163</v>
      </c>
      <c r="L18" s="2">
        <v>162.63333333333333</v>
      </c>
      <c r="M18" s="2">
        <v>165.70000000000002</v>
      </c>
      <c r="N18" s="2">
        <v>160.93333333333331</v>
      </c>
      <c r="O18" s="40">
        <v>80.922269684210534</v>
      </c>
    </row>
    <row r="19" spans="1:17" ht="15.6" x14ac:dyDescent="0.3">
      <c r="A19" s="5" t="s">
        <v>35</v>
      </c>
      <c r="B19" s="2">
        <v>165.36666666666667</v>
      </c>
      <c r="C19" s="2">
        <v>2358.6333333333332</v>
      </c>
      <c r="D19" s="2">
        <v>170.20000000000002</v>
      </c>
      <c r="E19" s="2">
        <v>161.26666666666668</v>
      </c>
      <c r="F19" s="2">
        <v>156.70666666666668</v>
      </c>
      <c r="G19" s="2">
        <v>171.56666666666669</v>
      </c>
      <c r="H19" s="2">
        <v>157.06666666666666</v>
      </c>
      <c r="I19" s="2">
        <v>162.36666666666667</v>
      </c>
      <c r="J19" s="2">
        <v>165.9</v>
      </c>
      <c r="K19" s="2">
        <v>164.36666666666667</v>
      </c>
      <c r="L19" s="2">
        <v>163.4</v>
      </c>
      <c r="M19" s="2">
        <v>166.1</v>
      </c>
      <c r="N19" s="2">
        <v>161.63333333333335</v>
      </c>
      <c r="O19" s="40">
        <v>82.278706675000009</v>
      </c>
    </row>
    <row r="20" spans="1:17" ht="15.6" x14ac:dyDescent="0.3">
      <c r="A20" s="5" t="s">
        <v>36</v>
      </c>
      <c r="B20" s="2">
        <v>166.86666666666667</v>
      </c>
      <c r="C20" s="2">
        <v>2381.0333333333338</v>
      </c>
      <c r="D20" s="2">
        <v>171.53333333333333</v>
      </c>
      <c r="E20" s="2">
        <v>163.46666666666667</v>
      </c>
      <c r="F20" s="2">
        <v>156.57333333333335</v>
      </c>
      <c r="G20" s="2">
        <v>172.4</v>
      </c>
      <c r="H20" s="2">
        <v>158.03333333333333</v>
      </c>
      <c r="I20" s="2">
        <v>163.56666666666669</v>
      </c>
      <c r="J20" s="2">
        <v>166.43333333333331</v>
      </c>
      <c r="K20" s="2">
        <v>167.13333333333333</v>
      </c>
      <c r="L20" s="2">
        <v>164.5</v>
      </c>
      <c r="M20" s="2">
        <v>167.63333333333333</v>
      </c>
      <c r="N20" s="2">
        <v>162.63333333333333</v>
      </c>
      <c r="O20" s="40">
        <v>78.539480282608693</v>
      </c>
    </row>
    <row r="21" spans="1:17" ht="15.6" x14ac:dyDescent="0.3">
      <c r="A21" s="5" t="s">
        <v>37</v>
      </c>
      <c r="B21" s="2">
        <v>172</v>
      </c>
      <c r="C21" s="2">
        <v>2411.7000000000003</v>
      </c>
      <c r="D21" s="2">
        <v>173.26666666666665</v>
      </c>
      <c r="E21" s="2">
        <v>165.36666666666667</v>
      </c>
      <c r="F21" s="2">
        <v>157.70666666666668</v>
      </c>
      <c r="G21" s="2">
        <v>173.33333333333334</v>
      </c>
      <c r="H21" s="2">
        <v>162.69999999999999</v>
      </c>
      <c r="I21" s="2">
        <v>164.6</v>
      </c>
      <c r="J21" s="2">
        <v>167.26666666666665</v>
      </c>
      <c r="K21" s="2">
        <v>168.73333333333335</v>
      </c>
      <c r="L21" s="2">
        <v>166.7</v>
      </c>
      <c r="M21" s="2">
        <v>170.03333333333333</v>
      </c>
      <c r="N21" s="2">
        <v>163.83333333333334</v>
      </c>
      <c r="O21" s="40">
        <v>102.96599786842103</v>
      </c>
    </row>
    <row r="22" spans="1:17" ht="15.6" x14ac:dyDescent="0.3">
      <c r="A22" s="5" t="s">
        <v>38</v>
      </c>
      <c r="B22" s="2">
        <v>174.4666666666667</v>
      </c>
      <c r="C22" s="2">
        <v>2437.4666666666672</v>
      </c>
      <c r="D22" s="2">
        <v>174.9666666666667</v>
      </c>
      <c r="E22" s="2">
        <v>167.16666666666666</v>
      </c>
      <c r="F22" s="2">
        <v>158.04</v>
      </c>
      <c r="G22" s="2">
        <v>174.19999999999996</v>
      </c>
      <c r="H22" s="2">
        <v>163.16666666666666</v>
      </c>
      <c r="I22" s="2">
        <v>165.29999999999998</v>
      </c>
      <c r="J22" s="2">
        <v>168.3</v>
      </c>
      <c r="K22" s="2">
        <v>168.36666666666667</v>
      </c>
      <c r="L22" s="2">
        <v>167.4</v>
      </c>
      <c r="M22" s="2">
        <v>171.66666666666666</v>
      </c>
      <c r="N22" s="2">
        <v>165.06666666666663</v>
      </c>
      <c r="O22" s="40">
        <v>109.50503773684208</v>
      </c>
    </row>
    <row r="23" spans="1:17" ht="15.6" x14ac:dyDescent="0.3">
      <c r="A23" s="5" t="s">
        <v>39</v>
      </c>
      <c r="B23" s="2">
        <v>175.86666666666665</v>
      </c>
      <c r="C23" s="2">
        <v>2461.0666666666671</v>
      </c>
      <c r="D23" s="2">
        <v>176.46666666666667</v>
      </c>
      <c r="E23" s="2">
        <v>168.66666666666666</v>
      </c>
      <c r="F23" s="2">
        <v>157.57333333333335</v>
      </c>
      <c r="G23" s="2">
        <v>174.83333333333334</v>
      </c>
      <c r="H23" s="2">
        <v>161.26666666666665</v>
      </c>
      <c r="I23" s="2">
        <v>165.96666666666667</v>
      </c>
      <c r="J23" s="2">
        <v>169.36666666666667</v>
      </c>
      <c r="K23" s="2">
        <v>169.36666666666667</v>
      </c>
      <c r="L23" s="2">
        <v>167.43333333333334</v>
      </c>
      <c r="M23" s="2">
        <v>172.53333333333333</v>
      </c>
      <c r="N23" s="2">
        <v>166.26666666666668</v>
      </c>
      <c r="O23" s="40">
        <v>116.01138504999999</v>
      </c>
    </row>
    <row r="24" spans="1:17" ht="15.6" x14ac:dyDescent="0.3">
      <c r="A24" s="5" t="s">
        <v>40</v>
      </c>
      <c r="B24" s="2">
        <v>179.56666666666669</v>
      </c>
      <c r="C24" s="2">
        <v>2465.6</v>
      </c>
      <c r="D24" s="2">
        <v>177.66666666666666</v>
      </c>
      <c r="E24" s="2">
        <v>170.1</v>
      </c>
      <c r="F24" s="2">
        <v>158.24</v>
      </c>
      <c r="G24" s="2">
        <v>175.5333333333333</v>
      </c>
      <c r="H24" s="2">
        <v>161.76666666666668</v>
      </c>
      <c r="I24" s="2">
        <v>166.5</v>
      </c>
      <c r="J24" s="2">
        <v>171.73333333333335</v>
      </c>
      <c r="K24" s="2">
        <v>169.73333333333332</v>
      </c>
      <c r="L24" s="2">
        <v>168.3</v>
      </c>
      <c r="M24" s="2">
        <v>173.33333333333334</v>
      </c>
      <c r="N24" s="2">
        <v>167.26666666666668</v>
      </c>
      <c r="O24" s="40">
        <v>105.49124737500001</v>
      </c>
    </row>
    <row r="25" spans="1:17" ht="15.6" x14ac:dyDescent="0.3">
      <c r="A25" s="5" t="s">
        <v>41</v>
      </c>
      <c r="B25" s="2">
        <v>178.76666666666668</v>
      </c>
      <c r="C25" s="2">
        <v>2468.7000000000003</v>
      </c>
      <c r="D25" s="2">
        <v>178.79999999999998</v>
      </c>
      <c r="E25" s="2">
        <v>171.46666666666667</v>
      </c>
      <c r="F25" s="2">
        <v>159.04</v>
      </c>
      <c r="G25" s="2">
        <v>176.26666666666665</v>
      </c>
      <c r="H25" s="2">
        <v>162.06666666666669</v>
      </c>
      <c r="I25" s="2">
        <v>167.1</v>
      </c>
      <c r="J25" s="2">
        <v>172.63333333333335</v>
      </c>
      <c r="K25" s="2">
        <v>171.23333333333335</v>
      </c>
      <c r="L25" s="2">
        <v>169.03333333333333</v>
      </c>
      <c r="M25" s="2">
        <v>174.23333333333335</v>
      </c>
      <c r="N25" s="2">
        <v>168.33333333333334</v>
      </c>
      <c r="O25" s="40">
        <v>97.404465428571427</v>
      </c>
    </row>
    <row r="26" spans="1:17" ht="15.6" x14ac:dyDescent="0.3">
      <c r="A26" s="5" t="s">
        <v>42</v>
      </c>
      <c r="B26" s="2">
        <v>179.46666666666667</v>
      </c>
      <c r="C26" s="2">
        <v>2481.7333333333331</v>
      </c>
      <c r="D26" s="2">
        <v>180.19999999999996</v>
      </c>
      <c r="E26" s="2">
        <v>173.1</v>
      </c>
      <c r="F26" s="2">
        <v>159.37333333333333</v>
      </c>
      <c r="G26" s="2">
        <v>177.26666666666665</v>
      </c>
      <c r="H26" s="2">
        <v>162.46666666666667</v>
      </c>
      <c r="I26" s="2">
        <v>167.79999999999998</v>
      </c>
      <c r="J26" s="2">
        <v>173.4</v>
      </c>
      <c r="K26" s="2">
        <v>170.93333333333331</v>
      </c>
      <c r="L26" s="2">
        <v>169.63333333333333</v>
      </c>
      <c r="M26" s="2">
        <v>175.26666666666665</v>
      </c>
      <c r="N26" s="2">
        <v>169.36666666666667</v>
      </c>
      <c r="O26" s="40">
        <v>90.706344809523813</v>
      </c>
    </row>
    <row r="27" spans="1:17" ht="15.6" x14ac:dyDescent="0.3">
      <c r="A27" s="5" t="s">
        <v>43</v>
      </c>
      <c r="B27" s="2">
        <v>180.43333333333331</v>
      </c>
      <c r="C27" s="2">
        <v>2498.4666666666667</v>
      </c>
      <c r="D27" s="2">
        <v>181.16666666666666</v>
      </c>
      <c r="E27" s="2">
        <v>174.1</v>
      </c>
      <c r="F27" s="2">
        <v>160.50666666666666</v>
      </c>
      <c r="G27" s="2">
        <v>178.19999999999996</v>
      </c>
      <c r="H27" s="2">
        <v>163.03333333333333</v>
      </c>
      <c r="I27" s="2">
        <v>168.36666666666667</v>
      </c>
      <c r="J27" s="2">
        <v>173.70000000000002</v>
      </c>
      <c r="K27" s="2">
        <v>172.13333333333333</v>
      </c>
      <c r="L27" s="2">
        <v>170.4</v>
      </c>
      <c r="M27" s="2">
        <v>176.63333333333333</v>
      </c>
      <c r="N27" s="2">
        <v>170.26666666666665</v>
      </c>
      <c r="O27" s="40">
        <v>91.698948700000003</v>
      </c>
    </row>
    <row r="28" spans="1:17" ht="15.6" x14ac:dyDescent="0.3">
      <c r="A28" s="5" t="s">
        <v>45</v>
      </c>
      <c r="B28" s="2">
        <v>181.16666666666666</v>
      </c>
      <c r="C28" s="2">
        <v>2497.3000000000002</v>
      </c>
      <c r="D28" s="2">
        <v>182.33333333333334</v>
      </c>
      <c r="E28" s="2">
        <v>174.96666666666667</v>
      </c>
      <c r="F28" s="2">
        <v>160.90666666666667</v>
      </c>
      <c r="G28" s="2">
        <v>179.30000000000004</v>
      </c>
      <c r="H28" s="2">
        <v>163.13333333333333</v>
      </c>
      <c r="I28" s="2">
        <v>168.66666666666666</v>
      </c>
      <c r="J28" s="2">
        <v>174.03333333333333</v>
      </c>
      <c r="K28" s="2">
        <v>173.6</v>
      </c>
      <c r="L28" s="2">
        <v>171.03333333333333</v>
      </c>
      <c r="M28" s="2">
        <v>176.13333333333335</v>
      </c>
      <c r="N28" s="2">
        <v>171.26666666666665</v>
      </c>
      <c r="O28" s="40">
        <v>87.552266068181822</v>
      </c>
    </row>
    <row r="29" spans="1:17" ht="15.6" x14ac:dyDescent="0.3">
      <c r="A29" s="5" t="s">
        <v>46</v>
      </c>
      <c r="B29" s="2">
        <v>181.80000000000004</v>
      </c>
      <c r="C29" s="2">
        <v>2483.5333333333333</v>
      </c>
      <c r="D29" s="2">
        <v>183.26666666666665</v>
      </c>
      <c r="E29" s="2">
        <v>175.79999999999998</v>
      </c>
      <c r="F29" s="2">
        <v>160.17333333333332</v>
      </c>
      <c r="G29" s="2">
        <v>180.6</v>
      </c>
      <c r="H29" s="2">
        <v>163.53333333333333</v>
      </c>
      <c r="I29" s="2">
        <v>169.06666666666666</v>
      </c>
      <c r="J29" s="2">
        <v>174.4</v>
      </c>
      <c r="K29" s="2">
        <v>175.83333333333334</v>
      </c>
      <c r="L29" s="2">
        <v>171.9</v>
      </c>
      <c r="M29" s="2">
        <v>175.63333333333333</v>
      </c>
      <c r="N29" s="2">
        <v>171.93333333333331</v>
      </c>
      <c r="O29" s="40">
        <v>78.100942275000008</v>
      </c>
    </row>
    <row r="30" spans="1:17" ht="15.6" x14ac:dyDescent="0.3">
      <c r="A30" s="4">
        <v>2023</v>
      </c>
      <c r="B30" s="2">
        <v>182.11333333333334</v>
      </c>
      <c r="C30" s="2">
        <v>2493.5466666666671</v>
      </c>
      <c r="D30" s="2">
        <v>185.58666666666667</v>
      </c>
      <c r="E30" s="2">
        <v>177.63333333333333</v>
      </c>
      <c r="F30" s="2">
        <v>162.35999999999999</v>
      </c>
      <c r="G30" s="2">
        <v>183.89999999999998</v>
      </c>
      <c r="H30" s="2">
        <v>164.41333333333333</v>
      </c>
      <c r="I30" s="2">
        <v>170.6</v>
      </c>
      <c r="J30" s="2">
        <v>175.87333333333336</v>
      </c>
      <c r="K30" s="2">
        <v>182</v>
      </c>
      <c r="L30" s="2">
        <v>174.2533333333333</v>
      </c>
      <c r="M30" s="2">
        <v>177.57333333333332</v>
      </c>
      <c r="N30" s="2">
        <v>174.0333333333333</v>
      </c>
      <c r="O30" s="52">
        <v>80.81</v>
      </c>
    </row>
    <row r="31" spans="1:17" ht="15.6" x14ac:dyDescent="0.3">
      <c r="A31" s="5" t="s">
        <v>19</v>
      </c>
      <c r="B31" s="2">
        <v>181.76666666666665</v>
      </c>
      <c r="C31" s="2">
        <v>2494.2666666666669</v>
      </c>
      <c r="D31" s="2">
        <v>184.20000000000002</v>
      </c>
      <c r="E31" s="2">
        <v>176.4</v>
      </c>
      <c r="F31" s="2">
        <v>161.10666666666665</v>
      </c>
      <c r="G31" s="2">
        <v>181.83333333333334</v>
      </c>
      <c r="H31" s="2">
        <v>163.76666666666668</v>
      </c>
      <c r="I31" s="2">
        <v>169.70000000000002</v>
      </c>
      <c r="J31" s="2">
        <v>174.63333333333335</v>
      </c>
      <c r="K31" s="2">
        <v>178.6</v>
      </c>
      <c r="L31" s="2">
        <v>172.73333333333335</v>
      </c>
      <c r="M31" s="2">
        <v>176.4</v>
      </c>
      <c r="N31" s="2">
        <v>172.69999999999996</v>
      </c>
      <c r="O31" s="40">
        <v>79.216541545454547</v>
      </c>
      <c r="Q31" s="51"/>
    </row>
    <row r="32" spans="1:17" ht="15.6" x14ac:dyDescent="0.3">
      <c r="A32" s="5" t="s">
        <v>35</v>
      </c>
      <c r="B32" s="2">
        <v>182.16666666666666</v>
      </c>
      <c r="C32" s="2">
        <v>2482.8333333333335</v>
      </c>
      <c r="D32" s="2">
        <v>185.5</v>
      </c>
      <c r="E32" s="2">
        <v>177.56666666666669</v>
      </c>
      <c r="F32" s="2">
        <v>162.04</v>
      </c>
      <c r="G32" s="2">
        <v>183.93333333333337</v>
      </c>
      <c r="H32" s="2">
        <v>164.33333333333334</v>
      </c>
      <c r="I32" s="2">
        <v>170.50000000000003</v>
      </c>
      <c r="J32" s="2">
        <v>175.33333333333334</v>
      </c>
      <c r="K32" s="2">
        <v>181.0333333333333</v>
      </c>
      <c r="L32" s="2">
        <v>174</v>
      </c>
      <c r="M32" s="2">
        <v>177.16666666666666</v>
      </c>
      <c r="N32" s="2">
        <v>174</v>
      </c>
      <c r="O32" s="40">
        <v>81.621881399999992</v>
      </c>
    </row>
    <row r="33" spans="1:15" ht="15.6" x14ac:dyDescent="0.3">
      <c r="A33" s="5" t="s">
        <v>36</v>
      </c>
      <c r="B33" s="2">
        <v>181.96666666666667</v>
      </c>
      <c r="C33" s="2">
        <v>2483</v>
      </c>
      <c r="D33" s="2">
        <v>185.43333333333331</v>
      </c>
      <c r="E33" s="2">
        <v>177.56666666666669</v>
      </c>
      <c r="F33" s="2">
        <v>162.04</v>
      </c>
      <c r="G33" s="2">
        <v>183.93333333333337</v>
      </c>
      <c r="H33" s="2">
        <v>164.33333333333334</v>
      </c>
      <c r="I33" s="2">
        <v>170.50000000000003</v>
      </c>
      <c r="J33" s="2">
        <v>175.33333333333334</v>
      </c>
      <c r="K33" s="2">
        <v>181.06666666666669</v>
      </c>
      <c r="L33" s="2">
        <v>174</v>
      </c>
      <c r="M33" s="2">
        <v>177.16666666666666</v>
      </c>
      <c r="N33" s="2">
        <v>174</v>
      </c>
      <c r="O33" s="40">
        <v>84.486883150000011</v>
      </c>
    </row>
    <row r="34" spans="1:15" ht="15.6" x14ac:dyDescent="0.3">
      <c r="A34" s="5" t="s">
        <v>37</v>
      </c>
      <c r="B34" s="2">
        <v>181.76666666666665</v>
      </c>
      <c r="C34" s="2">
        <v>2495.0333333333333</v>
      </c>
      <c r="D34" s="2">
        <v>186.19999999999996</v>
      </c>
      <c r="E34" s="2">
        <v>178.06666666666669</v>
      </c>
      <c r="F34" s="2">
        <v>163.17333333333332</v>
      </c>
      <c r="G34" s="2">
        <v>184.56666666666669</v>
      </c>
      <c r="H34" s="2">
        <v>164.66666666666666</v>
      </c>
      <c r="I34" s="2">
        <v>170.9</v>
      </c>
      <c r="J34" s="2">
        <v>176.66666666666666</v>
      </c>
      <c r="K34" s="2">
        <v>184.06666666666669</v>
      </c>
      <c r="L34" s="2">
        <v>174.93333333333331</v>
      </c>
      <c r="M34" s="2">
        <v>178.1</v>
      </c>
      <c r="N34" s="2">
        <v>174.43333333333331</v>
      </c>
      <c r="O34" s="40">
        <v>83.755358416666667</v>
      </c>
    </row>
    <row r="35" spans="1:15" ht="15.6" x14ac:dyDescent="0.3">
      <c r="A35" s="5" t="s">
        <v>38</v>
      </c>
      <c r="B35" s="2">
        <v>182.9</v>
      </c>
      <c r="C35" s="2">
        <v>2512.6000000000004</v>
      </c>
      <c r="D35" s="2">
        <v>186.6</v>
      </c>
      <c r="E35" s="2">
        <v>178.56666666666663</v>
      </c>
      <c r="F35" s="2">
        <v>163.44</v>
      </c>
      <c r="G35" s="2">
        <v>185.23333333333335</v>
      </c>
      <c r="H35" s="2">
        <v>164.96666666666667</v>
      </c>
      <c r="I35" s="2">
        <v>171.4</v>
      </c>
      <c r="J35" s="2">
        <v>177.4</v>
      </c>
      <c r="K35" s="2">
        <v>185.23333333333332</v>
      </c>
      <c r="L35" s="2">
        <v>175.6</v>
      </c>
      <c r="M35" s="2">
        <v>179.0333333333333</v>
      </c>
      <c r="N35" s="2">
        <v>175.0333333333333</v>
      </c>
      <c r="O35" s="40">
        <v>74.981547824999993</v>
      </c>
    </row>
    <row r="36" spans="1:15" x14ac:dyDescent="0.3">
      <c r="A36" s="4" t="s">
        <v>51</v>
      </c>
      <c r="B36" s="2">
        <v>169.47241379310344</v>
      </c>
      <c r="C36" s="2">
        <v>2398.4413793103449</v>
      </c>
      <c r="D36" s="2">
        <v>171.98275862068974</v>
      </c>
      <c r="E36" s="2">
        <v>163.11149425287357</v>
      </c>
      <c r="F36" s="2">
        <v>157.27678160919552</v>
      </c>
      <c r="G36" s="2">
        <v>172.59770114942529</v>
      </c>
      <c r="H36" s="2">
        <v>157.42643678160914</v>
      </c>
      <c r="I36" s="2">
        <v>162.59080459770112</v>
      </c>
      <c r="J36" s="2">
        <v>168.00574712643672</v>
      </c>
      <c r="K36" s="2">
        <v>167.21724137931031</v>
      </c>
      <c r="L36" s="2">
        <v>164.61149425287357</v>
      </c>
      <c r="M36" s="2">
        <v>168.61264367816088</v>
      </c>
      <c r="N36" s="2">
        <v>163.06781609195403</v>
      </c>
    </row>
    <row r="40" spans="1:15" x14ac:dyDescent="0.3">
      <c r="B40" s="16" t="s">
        <v>87</v>
      </c>
      <c r="C40" s="16" t="s">
        <v>88</v>
      </c>
    </row>
    <row r="41" spans="1:15" x14ac:dyDescent="0.3">
      <c r="B41" s="10" t="s">
        <v>89</v>
      </c>
      <c r="C41" s="10">
        <f>CORREL(O4:O35,C4:C35)</f>
        <v>0.19977175012634671</v>
      </c>
    </row>
    <row r="42" spans="1:15" x14ac:dyDescent="0.3">
      <c r="B42" s="10" t="s">
        <v>90</v>
      </c>
      <c r="C42" s="10">
        <f>CORREL($O4:$O35,D4:D35)</f>
        <v>0.18591007422355182</v>
      </c>
    </row>
    <row r="43" spans="1:15" x14ac:dyDescent="0.3">
      <c r="B43" s="10" t="s">
        <v>91</v>
      </c>
      <c r="C43" s="10">
        <f>CORREL(O4:O35,E4:E35)</f>
        <v>0.21758408323883857</v>
      </c>
    </row>
    <row r="44" spans="1:15" x14ac:dyDescent="0.3">
      <c r="B44" s="10" t="s">
        <v>92</v>
      </c>
      <c r="C44" s="10">
        <f>CORREL(O4:O35,F4:F35)</f>
        <v>0.12819404186055872</v>
      </c>
    </row>
    <row r="45" spans="1:15" x14ac:dyDescent="0.3">
      <c r="B45" s="10" t="s">
        <v>93</v>
      </c>
      <c r="C45" s="10">
        <f>CORREL(O4:O35,G4:G35)</f>
        <v>0.10986480007421118</v>
      </c>
    </row>
    <row r="46" spans="1:15" x14ac:dyDescent="0.3">
      <c r="B46" s="10" t="s">
        <v>94</v>
      </c>
      <c r="C46" s="10">
        <f>CORREL(O4:O35,H4:H35)</f>
        <v>0.24152906352127859</v>
      </c>
      <c r="E46" s="26" t="s">
        <v>184</v>
      </c>
      <c r="F46" s="26"/>
      <c r="G46" s="26"/>
      <c r="H46" s="26"/>
      <c r="I46" s="21"/>
      <c r="J46" s="21"/>
      <c r="K46" s="21"/>
      <c r="L46" s="6"/>
    </row>
    <row r="47" spans="1:15" x14ac:dyDescent="0.3">
      <c r="B47" s="10" t="s">
        <v>95</v>
      </c>
      <c r="C47" s="10">
        <f>CORREL(O4:O35,I4:I35)</f>
        <v>0.20324375001422992</v>
      </c>
      <c r="E47" s="26"/>
      <c r="F47" s="26"/>
      <c r="G47" s="26"/>
      <c r="H47" s="26"/>
    </row>
    <row r="48" spans="1:15" x14ac:dyDescent="0.3">
      <c r="B48" s="10" t="s">
        <v>96</v>
      </c>
      <c r="C48" s="10">
        <f>CORREL(O4:O35,J4:J35)</f>
        <v>0.15809548548743266</v>
      </c>
      <c r="E48" s="26"/>
      <c r="F48" s="26"/>
      <c r="G48" s="26"/>
      <c r="H48" s="26"/>
    </row>
    <row r="49" spans="2:3" x14ac:dyDescent="0.3">
      <c r="B49" s="10" t="s">
        <v>97</v>
      </c>
      <c r="C49" s="10">
        <f>CORREL(O4:O35,K4:K35)</f>
        <v>9.907127511447536E-2</v>
      </c>
    </row>
    <row r="50" spans="2:3" x14ac:dyDescent="0.3">
      <c r="B50" s="10" t="s">
        <v>98</v>
      </c>
      <c r="C50" s="10">
        <f>CORREL(O4:O35,L4:L35)</f>
        <v>0.16938503268720054</v>
      </c>
    </row>
    <row r="51" spans="2:3" x14ac:dyDescent="0.3">
      <c r="B51" s="10" t="s">
        <v>99</v>
      </c>
      <c r="C51" s="10">
        <f>CORREL(O4:O35,M4:M35)</f>
        <v>0.21003976429246682</v>
      </c>
    </row>
    <row r="52" spans="2:3" x14ac:dyDescent="0.3">
      <c r="B52" s="10" t="s">
        <v>100</v>
      </c>
      <c r="C52" s="10">
        <f>CORREL(O4:O35,N4:N35)</f>
        <v>0.16553597598295616</v>
      </c>
    </row>
  </sheetData>
  <mergeCells count="1">
    <mergeCell ref="E46:H48"/>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81F02-E576-4567-9C3D-D58CA620BB64}">
  <dimension ref="A1:D7"/>
  <sheetViews>
    <sheetView workbookViewId="0">
      <selection activeCell="C7" sqref="C7"/>
    </sheetView>
  </sheetViews>
  <sheetFormatPr defaultRowHeight="14.4" x14ac:dyDescent="0.3"/>
  <cols>
    <col min="1" max="1" width="18.6640625" bestFit="1" customWidth="1"/>
    <col min="2" max="2" width="89.6640625" bestFit="1" customWidth="1"/>
    <col min="3" max="3" width="88.44140625" bestFit="1" customWidth="1"/>
    <col min="4" max="4" width="25.5546875" bestFit="1" customWidth="1"/>
  </cols>
  <sheetData>
    <row r="1" spans="1:4" ht="21" x14ac:dyDescent="0.4">
      <c r="A1" s="18" t="s">
        <v>101</v>
      </c>
      <c r="B1" s="18" t="s">
        <v>102</v>
      </c>
      <c r="C1" s="18" t="s">
        <v>107</v>
      </c>
      <c r="D1" s="18" t="s">
        <v>103</v>
      </c>
    </row>
    <row r="2" spans="1:4" ht="21" x14ac:dyDescent="0.4">
      <c r="A2" s="19" t="s">
        <v>105</v>
      </c>
      <c r="B2" s="17" t="s">
        <v>126</v>
      </c>
      <c r="C2" s="17" t="s">
        <v>127</v>
      </c>
      <c r="D2" s="17" t="s">
        <v>104</v>
      </c>
    </row>
    <row r="3" spans="1:4" ht="21" x14ac:dyDescent="0.4">
      <c r="A3" s="19" t="s">
        <v>106</v>
      </c>
      <c r="B3" s="17" t="s">
        <v>128</v>
      </c>
      <c r="C3" s="17" t="s">
        <v>129</v>
      </c>
      <c r="D3" s="17" t="s">
        <v>108</v>
      </c>
    </row>
    <row r="4" spans="1:4" ht="21" x14ac:dyDescent="0.4">
      <c r="A4" s="19" t="s">
        <v>109</v>
      </c>
      <c r="B4" s="17" t="s">
        <v>130</v>
      </c>
      <c r="C4" s="17" t="s">
        <v>48</v>
      </c>
      <c r="D4" s="17" t="s">
        <v>110</v>
      </c>
    </row>
    <row r="5" spans="1:4" ht="21" x14ac:dyDescent="0.4">
      <c r="A5" s="19" t="s">
        <v>113</v>
      </c>
      <c r="B5" s="17" t="s">
        <v>118</v>
      </c>
      <c r="C5" s="17" t="s">
        <v>111</v>
      </c>
      <c r="D5" s="17" t="s">
        <v>112</v>
      </c>
    </row>
    <row r="6" spans="1:4" ht="21" x14ac:dyDescent="0.4">
      <c r="A6" s="19" t="s">
        <v>114</v>
      </c>
      <c r="B6" s="17" t="s">
        <v>131</v>
      </c>
      <c r="C6" s="17" t="s">
        <v>132</v>
      </c>
      <c r="D6" s="17" t="s">
        <v>115</v>
      </c>
    </row>
    <row r="7" spans="1:4" ht="21" x14ac:dyDescent="0.4">
      <c r="A7" s="19" t="s">
        <v>116</v>
      </c>
      <c r="B7" s="17" t="s">
        <v>185</v>
      </c>
      <c r="C7" s="17" t="s">
        <v>186</v>
      </c>
      <c r="D7" s="17" t="s">
        <v>117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73D04-7CA8-4C0B-8535-F5E044D5FEAA}">
  <dimension ref="A1:O30"/>
  <sheetViews>
    <sheetView tabSelected="1" topLeftCell="A20" workbookViewId="0">
      <selection activeCell="N24" sqref="N24"/>
    </sheetView>
  </sheetViews>
  <sheetFormatPr defaultRowHeight="14.4" x14ac:dyDescent="0.3"/>
  <cols>
    <col min="7" max="7" width="11.109375" bestFit="1" customWidth="1"/>
    <col min="9" max="9" width="10.6640625" bestFit="1" customWidth="1"/>
    <col min="10" max="10" width="10.5546875" bestFit="1" customWidth="1"/>
    <col min="12" max="12" width="9.5546875" bestFit="1" customWidth="1"/>
  </cols>
  <sheetData>
    <row r="1" spans="1:15" ht="15.6" x14ac:dyDescent="0.3">
      <c r="A1" s="38" t="s">
        <v>1</v>
      </c>
      <c r="B1" s="39">
        <v>33329</v>
      </c>
      <c r="C1" s="39">
        <v>33359</v>
      </c>
      <c r="D1" s="39">
        <v>33390</v>
      </c>
      <c r="E1" s="39">
        <v>33420</v>
      </c>
      <c r="F1" s="39">
        <v>33451</v>
      </c>
      <c r="G1" s="39">
        <v>33482</v>
      </c>
      <c r="H1" s="39">
        <v>33512</v>
      </c>
      <c r="I1" s="39">
        <v>33543</v>
      </c>
      <c r="J1" s="39">
        <v>33573</v>
      </c>
      <c r="K1" s="39">
        <v>33604</v>
      </c>
      <c r="L1" s="39">
        <v>33635</v>
      </c>
      <c r="M1" s="39">
        <v>33664</v>
      </c>
      <c r="N1" s="39" t="s">
        <v>133</v>
      </c>
      <c r="O1" s="39" t="s">
        <v>134</v>
      </c>
    </row>
    <row r="2" spans="1:15" ht="15.6" x14ac:dyDescent="0.3">
      <c r="A2" s="37" t="s">
        <v>135</v>
      </c>
      <c r="B2" s="40">
        <v>22.51</v>
      </c>
      <c r="C2" s="40">
        <v>26.6</v>
      </c>
      <c r="D2" s="40">
        <v>28.49</v>
      </c>
      <c r="E2" s="40">
        <v>27.26</v>
      </c>
      <c r="F2" s="40">
        <v>28.328848863636367</v>
      </c>
      <c r="G2" s="40">
        <v>31.34</v>
      </c>
      <c r="H2" s="40">
        <v>30.5</v>
      </c>
      <c r="I2" s="40">
        <v>30.926621590909097</v>
      </c>
      <c r="J2" s="40">
        <v>23.25</v>
      </c>
      <c r="K2" s="40">
        <v>24.02</v>
      </c>
      <c r="L2" s="40">
        <v>25.92</v>
      </c>
      <c r="M2" s="40">
        <v>23.82</v>
      </c>
      <c r="N2" s="41">
        <v>26.924166666666665</v>
      </c>
      <c r="O2" s="42" t="s">
        <v>136</v>
      </c>
    </row>
    <row r="3" spans="1:15" ht="15.6" x14ac:dyDescent="0.3">
      <c r="A3" s="43" t="s">
        <v>137</v>
      </c>
      <c r="B3" s="40">
        <v>24.82</v>
      </c>
      <c r="C3" s="40">
        <v>26.95</v>
      </c>
      <c r="D3" s="40">
        <v>26.63</v>
      </c>
      <c r="E3" s="40">
        <v>23.99</v>
      </c>
      <c r="F3" s="40">
        <v>25.01</v>
      </c>
      <c r="G3" s="40">
        <v>24.79</v>
      </c>
      <c r="H3" s="40">
        <v>20.05</v>
      </c>
      <c r="I3" s="40">
        <v>18.239999999999998</v>
      </c>
      <c r="J3" s="40">
        <v>18.239999999999998</v>
      </c>
      <c r="K3" s="40">
        <v>18.920000000000002</v>
      </c>
      <c r="L3" s="40">
        <v>19.529986842105259</v>
      </c>
      <c r="M3" s="40">
        <v>23.31</v>
      </c>
      <c r="N3" s="41">
        <v>22.551701476377943</v>
      </c>
      <c r="O3" s="42" t="s">
        <v>136</v>
      </c>
    </row>
    <row r="4" spans="1:15" ht="15.6" x14ac:dyDescent="0.3">
      <c r="A4" s="37" t="s">
        <v>138</v>
      </c>
      <c r="B4" s="40">
        <v>25.029405681818183</v>
      </c>
      <c r="C4" s="40">
        <v>24.994865217391304</v>
      </c>
      <c r="D4" s="40">
        <v>24.051813749999997</v>
      </c>
      <c r="E4" s="40">
        <v>25.183221739130431</v>
      </c>
      <c r="F4" s="40">
        <v>25.855818181818179</v>
      </c>
      <c r="G4" s="40">
        <v>27.495242857142859</v>
      </c>
      <c r="H4" s="40">
        <v>26.902101086956524</v>
      </c>
      <c r="I4" s="40">
        <v>23.682511904761906</v>
      </c>
      <c r="J4" s="40">
        <v>27.110101190476186</v>
      </c>
      <c r="K4" s="40">
        <v>29.592549999999996</v>
      </c>
      <c r="L4" s="40">
        <v>31.308380555555548</v>
      </c>
      <c r="M4" s="40">
        <v>28.825039285714286</v>
      </c>
      <c r="N4" s="41">
        <v>26.6</v>
      </c>
      <c r="O4" s="42" t="s">
        <v>136</v>
      </c>
    </row>
    <row r="5" spans="1:15" ht="15.6" x14ac:dyDescent="0.3">
      <c r="A5" s="43" t="s">
        <v>139</v>
      </c>
      <c r="B5" s="40">
        <v>24.214591666666667</v>
      </c>
      <c r="C5" s="40">
        <v>24.98887894736842</v>
      </c>
      <c r="D5" s="40">
        <v>26.425924999999999</v>
      </c>
      <c r="E5" s="40">
        <v>27.458449999999999</v>
      </c>
      <c r="F5" s="40">
        <v>28.663598809523808</v>
      </c>
      <c r="G5" s="40">
        <v>26.265218181818184</v>
      </c>
      <c r="H5" s="40">
        <v>28.449944318181817</v>
      </c>
      <c r="I5" s="40">
        <v>28.226284210526316</v>
      </c>
      <c r="J5" s="40">
        <v>28.966610714285707</v>
      </c>
      <c r="K5" s="40">
        <v>29.999534210526313</v>
      </c>
      <c r="L5" s="40">
        <v>29.647267105263154</v>
      </c>
      <c r="M5" s="40">
        <v>32.210322826086951</v>
      </c>
      <c r="N5" s="41">
        <v>27.98</v>
      </c>
      <c r="O5" s="42" t="s">
        <v>136</v>
      </c>
    </row>
    <row r="6" spans="1:15" ht="15.6" x14ac:dyDescent="0.3">
      <c r="A6" s="37" t="s">
        <v>140</v>
      </c>
      <c r="B6" s="40">
        <v>32.365204761904764</v>
      </c>
      <c r="C6" s="40">
        <v>36.078851249999992</v>
      </c>
      <c r="D6" s="40">
        <v>34.159547619047622</v>
      </c>
      <c r="E6" s="40">
        <v>36.353381818181809</v>
      </c>
      <c r="F6" s="40">
        <v>40.517199999999995</v>
      </c>
      <c r="G6" s="40">
        <v>39.149477272727275</v>
      </c>
      <c r="H6" s="40">
        <v>43.375466666666675</v>
      </c>
      <c r="I6" s="40">
        <v>38.898870000000002</v>
      </c>
      <c r="J6" s="40">
        <v>36.816215476190465</v>
      </c>
      <c r="K6" s="40">
        <v>40.96200249999999</v>
      </c>
      <c r="L6" s="40">
        <v>42.670598611111117</v>
      </c>
      <c r="M6" s="40">
        <v>49.27002045454546</v>
      </c>
      <c r="N6" s="41">
        <v>39.205833333333331</v>
      </c>
      <c r="O6" s="42" t="s">
        <v>136</v>
      </c>
    </row>
    <row r="7" spans="1:15" ht="15.6" x14ac:dyDescent="0.3">
      <c r="A7" s="43" t="s">
        <v>141</v>
      </c>
      <c r="B7" s="40">
        <v>49.427602380952379</v>
      </c>
      <c r="C7" s="40">
        <v>46.995223684210522</v>
      </c>
      <c r="D7" s="40">
        <v>52.720745454545458</v>
      </c>
      <c r="E7" s="40">
        <v>55.008083333333325</v>
      </c>
      <c r="F7" s="40">
        <v>60.048336363636373</v>
      </c>
      <c r="G7" s="40">
        <v>59.739213636363637</v>
      </c>
      <c r="H7" s="40">
        <v>56.279061904761896</v>
      </c>
      <c r="I7" s="40">
        <v>53.143807500000001</v>
      </c>
      <c r="J7" s="40">
        <v>55.045628571428587</v>
      </c>
      <c r="K7" s="40">
        <v>60.54291666666667</v>
      </c>
      <c r="L7" s="40">
        <v>58.953329999999994</v>
      </c>
      <c r="M7" s="40">
        <v>60.011573913043478</v>
      </c>
      <c r="N7" s="41">
        <v>55.720000000000006</v>
      </c>
      <c r="O7" s="42" t="s">
        <v>142</v>
      </c>
    </row>
    <row r="8" spans="1:15" ht="15.6" x14ac:dyDescent="0.3">
      <c r="A8" s="37" t="s">
        <v>143</v>
      </c>
      <c r="B8" s="40">
        <v>67.055031315789464</v>
      </c>
      <c r="C8" s="40">
        <v>67.22359075</v>
      </c>
      <c r="D8" s="40">
        <v>66.897534999999976</v>
      </c>
      <c r="E8" s="40">
        <v>71.285795238095261</v>
      </c>
      <c r="F8" s="40">
        <v>70.775921818181828</v>
      </c>
      <c r="G8" s="40">
        <v>60.933454285714276</v>
      </c>
      <c r="H8" s="40">
        <v>57.270684761904761</v>
      </c>
      <c r="I8" s="40">
        <v>57.793637500000003</v>
      </c>
      <c r="J8" s="40">
        <v>60.34467149999999</v>
      </c>
      <c r="K8" s="40">
        <v>52.529441428571438</v>
      </c>
      <c r="L8" s="40">
        <v>56.531044722222227</v>
      </c>
      <c r="M8" s="40">
        <v>60.262107954545442</v>
      </c>
      <c r="N8" s="41">
        <v>62.46</v>
      </c>
      <c r="O8" s="42" t="s">
        <v>144</v>
      </c>
    </row>
    <row r="9" spans="1:15" ht="15.6" x14ac:dyDescent="0.3">
      <c r="A9" s="43" t="s">
        <v>145</v>
      </c>
      <c r="B9" s="40">
        <v>65.481951250000009</v>
      </c>
      <c r="C9" s="40">
        <v>65.695437249999983</v>
      </c>
      <c r="D9" s="40">
        <v>68.099250714285716</v>
      </c>
      <c r="E9" s="40">
        <v>72.575061818181794</v>
      </c>
      <c r="F9" s="40">
        <v>68.982336590909085</v>
      </c>
      <c r="G9" s="40">
        <v>74.776604250000005</v>
      </c>
      <c r="H9" s="40">
        <v>79.327164347826084</v>
      </c>
      <c r="I9" s="40">
        <v>89.107013571428567</v>
      </c>
      <c r="J9" s="40">
        <v>87.921265000000034</v>
      </c>
      <c r="K9" s="40">
        <v>89.517554090909101</v>
      </c>
      <c r="L9" s="40">
        <v>92.374237368421049</v>
      </c>
      <c r="M9" s="40">
        <v>99.759819499999978</v>
      </c>
      <c r="N9" s="41">
        <v>79.249166666666667</v>
      </c>
      <c r="O9" s="42" t="s">
        <v>146</v>
      </c>
    </row>
    <row r="10" spans="1:15" ht="15.6" x14ac:dyDescent="0.3">
      <c r="A10" s="37" t="s">
        <v>147</v>
      </c>
      <c r="B10" s="40">
        <v>105.72015318181816</v>
      </c>
      <c r="C10" s="40">
        <v>120.90896144736843</v>
      </c>
      <c r="D10" s="40">
        <v>129.71535511904762</v>
      </c>
      <c r="E10" s="40">
        <v>132.47124826086957</v>
      </c>
      <c r="F10" s="40">
        <v>113.05438523809524</v>
      </c>
      <c r="G10" s="40">
        <v>96.812891590909103</v>
      </c>
      <c r="H10" s="40">
        <v>69.121526666666668</v>
      </c>
      <c r="I10" s="40">
        <v>50.907636000000011</v>
      </c>
      <c r="J10" s="40">
        <v>40.61143324999999</v>
      </c>
      <c r="K10" s="40">
        <v>43.986057631578959</v>
      </c>
      <c r="L10" s="40">
        <v>43.217028000000006</v>
      </c>
      <c r="M10" s="40">
        <v>46.021762045454544</v>
      </c>
      <c r="N10" s="41">
        <v>83.566666666666663</v>
      </c>
      <c r="O10" s="42" t="s">
        <v>148</v>
      </c>
    </row>
    <row r="11" spans="1:15" ht="15.6" x14ac:dyDescent="0.3">
      <c r="A11" s="43" t="s">
        <v>149</v>
      </c>
      <c r="B11" s="40">
        <v>50.135601875000006</v>
      </c>
      <c r="C11" s="40">
        <v>58.003360416666673</v>
      </c>
      <c r="D11" s="40">
        <v>69.115276136363633</v>
      </c>
      <c r="E11" s="40">
        <v>64.82460978260869</v>
      </c>
      <c r="F11" s="40">
        <v>71.979192105263166</v>
      </c>
      <c r="G11" s="40">
        <v>67.701650000000001</v>
      </c>
      <c r="H11" s="40">
        <v>73.064288636363642</v>
      </c>
      <c r="I11" s="40">
        <v>77.390866249999959</v>
      </c>
      <c r="J11" s="40">
        <v>75.01622261904761</v>
      </c>
      <c r="K11" s="40">
        <v>76.608826250000021</v>
      </c>
      <c r="L11" s="40">
        <v>73.694277777777771</v>
      </c>
      <c r="M11" s="40">
        <v>78.018300000000025</v>
      </c>
      <c r="N11" s="41">
        <v>69.762270040485845</v>
      </c>
      <c r="O11" s="42" t="s">
        <v>150</v>
      </c>
    </row>
    <row r="12" spans="1:15" ht="15.6" x14ac:dyDescent="0.3">
      <c r="A12" s="43" t="s">
        <v>151</v>
      </c>
      <c r="B12" s="40">
        <v>84.08172900000001</v>
      </c>
      <c r="C12" s="40">
        <v>76.161427777777774</v>
      </c>
      <c r="D12" s="40">
        <v>74.331090000000003</v>
      </c>
      <c r="E12" s="40">
        <v>73.543052272727266</v>
      </c>
      <c r="F12" s="40">
        <v>75.126988999999995</v>
      </c>
      <c r="G12" s="40">
        <v>76.092999999999989</v>
      </c>
      <c r="H12" s="40">
        <v>81.109814285714293</v>
      </c>
      <c r="I12" s="40">
        <v>84.255698500000008</v>
      </c>
      <c r="J12" s="40">
        <v>89.772982380952385</v>
      </c>
      <c r="K12" s="40">
        <v>93.868447999999987</v>
      </c>
      <c r="L12" s="40">
        <v>101.62099944444444</v>
      </c>
      <c r="M12" s="40">
        <v>110.71446956521741</v>
      </c>
      <c r="N12" s="41">
        <v>85.09</v>
      </c>
      <c r="O12" s="42" t="s">
        <v>152</v>
      </c>
    </row>
    <row r="13" spans="1:15" ht="15.6" x14ac:dyDescent="0.3">
      <c r="A13" s="43" t="s">
        <v>153</v>
      </c>
      <c r="B13" s="40">
        <v>118.63579277777778</v>
      </c>
      <c r="C13" s="40">
        <v>110.80254368421052</v>
      </c>
      <c r="D13" s="40">
        <v>109.99406772727275</v>
      </c>
      <c r="E13" s="40">
        <v>112.52711428571428</v>
      </c>
      <c r="F13" s="40">
        <v>106.93536000000002</v>
      </c>
      <c r="G13" s="40">
        <v>108.79064681818183</v>
      </c>
      <c r="H13" s="40">
        <v>106.10836949999998</v>
      </c>
      <c r="I13" s="40">
        <v>109.61574428571427</v>
      </c>
      <c r="J13" s="40">
        <v>107.19388799999999</v>
      </c>
      <c r="K13" s="40">
        <v>110.46828473684211</v>
      </c>
      <c r="L13" s="40">
        <v>117.66619714285711</v>
      </c>
      <c r="M13" s="40">
        <v>123.61055818181818</v>
      </c>
      <c r="N13" s="41">
        <v>111.89</v>
      </c>
      <c r="O13" s="42" t="s">
        <v>154</v>
      </c>
    </row>
    <row r="14" spans="1:15" ht="15.6" x14ac:dyDescent="0.3">
      <c r="A14" s="43" t="s">
        <v>155</v>
      </c>
      <c r="B14" s="40">
        <v>117.97451263157893</v>
      </c>
      <c r="C14" s="40">
        <v>108.05380666666667</v>
      </c>
      <c r="D14" s="40">
        <v>94.507602631578962</v>
      </c>
      <c r="E14" s="40">
        <v>100.33814000000001</v>
      </c>
      <c r="F14" s="40">
        <v>110.06828299999999</v>
      </c>
      <c r="G14" s="40">
        <v>111.77087950000001</v>
      </c>
      <c r="H14" s="40">
        <v>109.78858409090908</v>
      </c>
      <c r="I14" s="40">
        <v>107.87074714285717</v>
      </c>
      <c r="J14" s="40">
        <v>107.28096684210526</v>
      </c>
      <c r="K14" s="40">
        <v>109.55123681818182</v>
      </c>
      <c r="L14" s="40">
        <v>112.67557388888889</v>
      </c>
      <c r="M14" s="40">
        <v>106.44967000000001</v>
      </c>
      <c r="N14" s="41">
        <v>107.97</v>
      </c>
      <c r="O14" s="42" t="s">
        <v>156</v>
      </c>
    </row>
    <row r="15" spans="1:15" ht="15.6" x14ac:dyDescent="0.3">
      <c r="A15" s="37" t="s">
        <v>157</v>
      </c>
      <c r="B15" s="40">
        <v>101.57480404761903</v>
      </c>
      <c r="C15" s="40">
        <v>101.09704973684211</v>
      </c>
      <c r="D15" s="40">
        <v>101.11112850000002</v>
      </c>
      <c r="E15" s="40">
        <v>104.85975108695654</v>
      </c>
      <c r="F15" s="40">
        <v>108.45469894736839</v>
      </c>
      <c r="G15" s="40">
        <v>109.46571142857142</v>
      </c>
      <c r="H15" s="40">
        <v>107.37352068181818</v>
      </c>
      <c r="I15" s="40">
        <v>106.55480452380951</v>
      </c>
      <c r="J15" s="40">
        <v>108.71841975000002</v>
      </c>
      <c r="K15" s="40">
        <v>105.29499857142855</v>
      </c>
      <c r="L15" s="40">
        <v>106.18825474999998</v>
      </c>
      <c r="M15" s="40">
        <v>105.29528785714285</v>
      </c>
      <c r="N15" s="41">
        <v>105.52</v>
      </c>
      <c r="O15" s="42" t="s">
        <v>158</v>
      </c>
    </row>
    <row r="16" spans="1:15" ht="15.6" x14ac:dyDescent="0.3">
      <c r="A16" s="37" t="s">
        <v>159</v>
      </c>
      <c r="B16" s="40">
        <v>105.55533930000001</v>
      </c>
      <c r="C16" s="40">
        <v>106.85322644444446</v>
      </c>
      <c r="D16" s="40">
        <v>109.0539181904762</v>
      </c>
      <c r="E16" s="40">
        <v>106.2961561818182</v>
      </c>
      <c r="F16" s="40">
        <v>101.89198810000001</v>
      </c>
      <c r="G16" s="40">
        <v>96.959094045454563</v>
      </c>
      <c r="H16" s="40">
        <v>86.827638380952408</v>
      </c>
      <c r="I16" s="40">
        <v>77.581451350000009</v>
      </c>
      <c r="J16" s="40">
        <v>61.211098238095246</v>
      </c>
      <c r="K16" s="40">
        <v>46.586617428571437</v>
      </c>
      <c r="L16" s="40">
        <v>56.430382166666682</v>
      </c>
      <c r="M16" s="40">
        <v>55.176776090909101</v>
      </c>
      <c r="N16" s="41">
        <v>84.156300105691088</v>
      </c>
      <c r="O16" s="42" t="s">
        <v>160</v>
      </c>
    </row>
    <row r="17" spans="1:15" ht="15.6" x14ac:dyDescent="0.3">
      <c r="A17" s="37" t="s">
        <v>161</v>
      </c>
      <c r="B17" s="40">
        <v>59.070307599999992</v>
      </c>
      <c r="C17" s="40">
        <v>63.821381000000002</v>
      </c>
      <c r="D17" s="40">
        <v>61.745464190476184</v>
      </c>
      <c r="E17" s="40">
        <v>56.300030227272721</v>
      </c>
      <c r="F17" s="40">
        <v>47.327433333333339</v>
      </c>
      <c r="G17" s="40">
        <v>46.104868599999996</v>
      </c>
      <c r="H17" s="40">
        <v>46.675260727272715</v>
      </c>
      <c r="I17" s="40">
        <v>42.504005149999998</v>
      </c>
      <c r="J17" s="40">
        <v>35.680888380952382</v>
      </c>
      <c r="K17" s="40">
        <v>28.078798200000005</v>
      </c>
      <c r="L17" s="40">
        <v>30.525591894736845</v>
      </c>
      <c r="M17" s="40">
        <v>36.421309142857147</v>
      </c>
      <c r="N17" s="41">
        <v>46.16562723966944</v>
      </c>
      <c r="O17" s="42" t="s">
        <v>162</v>
      </c>
    </row>
    <row r="18" spans="1:15" ht="15.6" x14ac:dyDescent="0.3">
      <c r="A18" s="37" t="s">
        <v>163</v>
      </c>
      <c r="B18" s="40">
        <v>39.879094571428574</v>
      </c>
      <c r="C18" s="40">
        <v>45.006805849999999</v>
      </c>
      <c r="D18" s="40">
        <v>46.963111931818183</v>
      </c>
      <c r="E18" s="40">
        <v>43.519136674999999</v>
      </c>
      <c r="F18" s="40">
        <v>44.384978928571435</v>
      </c>
      <c r="G18" s="40">
        <v>44.480860166666659</v>
      </c>
      <c r="H18" s="40">
        <v>49.252621083333331</v>
      </c>
      <c r="I18" s="40">
        <v>44.456194318181822</v>
      </c>
      <c r="J18" s="40">
        <v>52.735649124999995</v>
      </c>
      <c r="K18" s="40">
        <v>54.077528250000015</v>
      </c>
      <c r="L18" s="40">
        <v>54.86268470000001</v>
      </c>
      <c r="M18" s="40">
        <v>51.469629652173914</v>
      </c>
      <c r="N18" s="41">
        <v>47.557812594621531</v>
      </c>
      <c r="O18" s="42" t="s">
        <v>164</v>
      </c>
    </row>
    <row r="19" spans="1:15" ht="15.6" x14ac:dyDescent="0.3">
      <c r="A19" s="37" t="s">
        <v>165</v>
      </c>
      <c r="B19" s="40">
        <v>52.490691055555551</v>
      </c>
      <c r="C19" s="40">
        <v>50.567623025000003</v>
      </c>
      <c r="D19" s="40">
        <v>46.555774</v>
      </c>
      <c r="E19" s="40">
        <v>47.857632880952387</v>
      </c>
      <c r="F19" s="40">
        <v>50.633570880952391</v>
      </c>
      <c r="G19" s="40">
        <v>54.523307750000001</v>
      </c>
      <c r="H19" s="40">
        <v>56.059518095238097</v>
      </c>
      <c r="I19" s="40">
        <v>61.315904545454551</v>
      </c>
      <c r="J19" s="40">
        <v>62.290080157894742</v>
      </c>
      <c r="K19" s="40">
        <v>67.060153386363623</v>
      </c>
      <c r="L19" s="40">
        <v>63.537335763157884</v>
      </c>
      <c r="M19" s="40">
        <v>63.795413214285702</v>
      </c>
      <c r="N19" s="41">
        <v>56.426878865306136</v>
      </c>
      <c r="O19" s="42" t="s">
        <v>166</v>
      </c>
    </row>
    <row r="20" spans="1:15" ht="15.6" x14ac:dyDescent="0.3">
      <c r="A20" s="37" t="s">
        <v>167</v>
      </c>
      <c r="B20" s="40">
        <v>69.219098437499994</v>
      </c>
      <c r="C20" s="40">
        <v>75.252045250000009</v>
      </c>
      <c r="D20" s="40">
        <v>73.825793025000024</v>
      </c>
      <c r="E20" s="40">
        <v>73.468274863636353</v>
      </c>
      <c r="F20" s="40">
        <v>72.5347376</v>
      </c>
      <c r="G20" s="40">
        <v>77.883389637499988</v>
      </c>
      <c r="H20" s="40">
        <v>80.082670250000007</v>
      </c>
      <c r="I20" s="40">
        <v>65.399219369047628</v>
      </c>
      <c r="J20" s="40">
        <v>57.772638352941186</v>
      </c>
      <c r="K20" s="40">
        <v>59.26800257954546</v>
      </c>
      <c r="L20" s="40">
        <v>64.534530625000002</v>
      </c>
      <c r="M20" s="40">
        <v>66.739999999999995</v>
      </c>
      <c r="N20" s="41">
        <v>69.88</v>
      </c>
      <c r="O20" s="42" t="s">
        <v>168</v>
      </c>
    </row>
    <row r="21" spans="1:15" ht="15.6" x14ac:dyDescent="0.3">
      <c r="A21" s="37" t="s">
        <v>169</v>
      </c>
      <c r="B21" s="40">
        <v>71.000922499999987</v>
      </c>
      <c r="C21" s="40">
        <v>70.013724342105249</v>
      </c>
      <c r="D21" s="40">
        <v>62.374424999999988</v>
      </c>
      <c r="E21" s="40">
        <v>63.627010326086953</v>
      </c>
      <c r="F21" s="40">
        <v>59.349817105263163</v>
      </c>
      <c r="G21" s="40">
        <v>61.723273214285719</v>
      </c>
      <c r="H21" s="40">
        <v>59.703420454545466</v>
      </c>
      <c r="I21" s="40">
        <v>62.53257261904762</v>
      </c>
      <c r="J21" s="40">
        <v>65.502042500000016</v>
      </c>
      <c r="K21" s="40">
        <v>64.309747023809535</v>
      </c>
      <c r="L21" s="40">
        <v>54.627359999999996</v>
      </c>
      <c r="M21" s="40">
        <v>33.358738068181822</v>
      </c>
      <c r="N21" s="41">
        <v>60.470826062752998</v>
      </c>
      <c r="O21" s="42" t="s">
        <v>170</v>
      </c>
    </row>
    <row r="22" spans="1:15" ht="15.6" x14ac:dyDescent="0.3">
      <c r="A22" s="37" t="s">
        <v>171</v>
      </c>
      <c r="B22" s="40">
        <v>19.901683749999997</v>
      </c>
      <c r="C22" s="40">
        <v>30.605539617647054</v>
      </c>
      <c r="D22" s="40">
        <v>40.633868636363637</v>
      </c>
      <c r="E22" s="40">
        <v>43.347552547619046</v>
      </c>
      <c r="F22" s="40">
        <v>44.190017605263151</v>
      </c>
      <c r="G22" s="40">
        <v>41.35410665909091</v>
      </c>
      <c r="H22" s="40">
        <v>40.658228000000001</v>
      </c>
      <c r="I22" s="40">
        <v>43.340640499999999</v>
      </c>
      <c r="J22" s="40">
        <v>49.839816952380943</v>
      </c>
      <c r="K22" s="40">
        <v>54.794569624999994</v>
      </c>
      <c r="L22" s="40">
        <v>61.216117289473672</v>
      </c>
      <c r="M22" s="40">
        <v>64.729496782608663</v>
      </c>
      <c r="N22" s="41">
        <v>44.821938917004019</v>
      </c>
      <c r="O22" s="42" t="s">
        <v>172</v>
      </c>
    </row>
    <row r="23" spans="1:15" ht="15.6" x14ac:dyDescent="0.3">
      <c r="A23" s="37" t="s">
        <v>173</v>
      </c>
      <c r="B23" s="40">
        <v>63.396976500000008</v>
      </c>
      <c r="C23" s="40">
        <v>66.953084852941174</v>
      </c>
      <c r="D23" s="40">
        <v>71.982647477272721</v>
      </c>
      <c r="E23" s="40">
        <v>73.539060523809511</v>
      </c>
      <c r="F23" s="40">
        <v>69.804724424999989</v>
      </c>
      <c r="G23" s="40">
        <v>73.130738295454549</v>
      </c>
      <c r="H23" s="40">
        <v>82.107393785714294</v>
      </c>
      <c r="I23" s="40">
        <v>80.637301023809528</v>
      </c>
      <c r="J23" s="40">
        <v>73.298823523809531</v>
      </c>
      <c r="K23" s="40">
        <v>84.666318799999985</v>
      </c>
      <c r="L23" s="40">
        <v>94.067715194444446</v>
      </c>
      <c r="M23" s="40">
        <v>112.87479254347826</v>
      </c>
      <c r="N23" s="41">
        <v>79.181425130081294</v>
      </c>
      <c r="O23" s="42" t="s">
        <v>172</v>
      </c>
    </row>
    <row r="24" spans="1:15" ht="15.6" x14ac:dyDescent="0.3">
      <c r="A24" s="37" t="s">
        <v>174</v>
      </c>
      <c r="B24" s="40">
        <v>102.96599786842103</v>
      </c>
      <c r="C24" s="40">
        <v>109.50503773684208</v>
      </c>
      <c r="D24" s="40">
        <v>116.01138504999999</v>
      </c>
      <c r="E24" s="40">
        <v>105.49124737500001</v>
      </c>
      <c r="F24" s="40">
        <v>97.404465428571427</v>
      </c>
      <c r="G24" s="40">
        <v>90.706344809523813</v>
      </c>
      <c r="H24" s="40">
        <v>91.698948700000003</v>
      </c>
      <c r="I24" s="40">
        <v>87.552266068181822</v>
      </c>
      <c r="J24" s="40">
        <v>78.100942275000008</v>
      </c>
      <c r="K24" s="40">
        <v>80.922269684210534</v>
      </c>
      <c r="L24" s="40">
        <v>82.278706675000009</v>
      </c>
      <c r="M24" s="40">
        <v>78.539480282608693</v>
      </c>
      <c r="N24" s="41">
        <v>93.151566872950767</v>
      </c>
      <c r="O24" s="42" t="s">
        <v>172</v>
      </c>
    </row>
    <row r="25" spans="1:15" ht="15.6" x14ac:dyDescent="0.3">
      <c r="A25" s="37" t="s">
        <v>175</v>
      </c>
      <c r="B25" s="40">
        <v>83.755358416666667</v>
      </c>
      <c r="C25" s="40">
        <v>74.981547824999993</v>
      </c>
      <c r="D25" s="40">
        <v>74.928252024999992</v>
      </c>
      <c r="E25" s="40">
        <v>80.368492428571415</v>
      </c>
      <c r="F25" s="40">
        <v>86.426703761904761</v>
      </c>
      <c r="G25" s="40">
        <v>93.539339400000003</v>
      </c>
      <c r="H25" s="40">
        <v>90.080343022727263</v>
      </c>
      <c r="I25" s="40">
        <v>83.455368214285699</v>
      </c>
      <c r="J25" s="40">
        <v>77.419721631578938</v>
      </c>
      <c r="K25" s="40">
        <v>79.216541545454547</v>
      </c>
      <c r="L25" s="40">
        <v>81.621881399999992</v>
      </c>
      <c r="M25" s="40">
        <v>84.486883150000011</v>
      </c>
      <c r="N25" s="41">
        <v>82.580010456967216</v>
      </c>
      <c r="O25" s="42" t="s">
        <v>172</v>
      </c>
    </row>
    <row r="26" spans="1:15" ht="15.6" x14ac:dyDescent="0.3">
      <c r="A26" s="37" t="s">
        <v>176</v>
      </c>
      <c r="B26" s="40">
        <v>89.437476250000003</v>
      </c>
      <c r="C26" s="40">
        <v>83.624938157894732</v>
      </c>
      <c r="D26" s="40">
        <v>82.552871052631588</v>
      </c>
      <c r="E26" s="40">
        <v>84.148165217391295</v>
      </c>
      <c r="F26" s="40">
        <v>78.270687499999994</v>
      </c>
      <c r="G26" s="40">
        <v>73.694888690476205</v>
      </c>
      <c r="H26" s="40">
        <v>75.124704545454534</v>
      </c>
      <c r="I26" s="40">
        <v>73.016986904761893</v>
      </c>
      <c r="J26" s="40">
        <v>73.336846874999978</v>
      </c>
      <c r="K26" s="40">
        <v>80.196197499999997</v>
      </c>
      <c r="L26" s="40">
        <v>77.328566875000007</v>
      </c>
      <c r="M26" s="40">
        <v>72.466606250000012</v>
      </c>
      <c r="N26" s="41">
        <v>78.560027295918331</v>
      </c>
      <c r="O26" s="42" t="s">
        <v>177</v>
      </c>
    </row>
    <row r="27" spans="1:15" ht="140.4" x14ac:dyDescent="0.3">
      <c r="A27" s="37" t="s">
        <v>178</v>
      </c>
      <c r="B27" s="40">
        <v>67.724946524999993</v>
      </c>
      <c r="C27" s="40">
        <v>64.042044444444457</v>
      </c>
      <c r="D27" s="40">
        <v>69.77</v>
      </c>
      <c r="E27" s="40">
        <v>70.95</v>
      </c>
      <c r="F27" s="40">
        <v>69.112829524999981</v>
      </c>
      <c r="G27" s="40">
        <v>69.61</v>
      </c>
      <c r="H27" s="40">
        <v>65.08</v>
      </c>
      <c r="I27" s="40">
        <v>64.305830100000009</v>
      </c>
      <c r="J27" s="40">
        <v>62.202431238095244</v>
      </c>
      <c r="K27" s="40">
        <v>63.08337802380953</v>
      </c>
      <c r="L27" s="40">
        <v>69.005476611111106</v>
      </c>
      <c r="M27" s="40">
        <v>113.49</v>
      </c>
      <c r="N27" s="41">
        <v>70.990725819556403</v>
      </c>
      <c r="O27" s="44" t="s">
        <v>179</v>
      </c>
    </row>
    <row r="28" spans="1:15" ht="15.6" x14ac:dyDescent="0.3">
      <c r="A28" s="45" t="s">
        <v>180</v>
      </c>
      <c r="B28" s="46"/>
      <c r="C28" s="46"/>
      <c r="D28" s="46"/>
      <c r="E28" s="46"/>
      <c r="F28" s="46"/>
      <c r="G28" s="47"/>
      <c r="H28" s="47"/>
      <c r="I28" s="47"/>
      <c r="J28" s="47"/>
      <c r="K28" s="47"/>
      <c r="L28" s="47"/>
      <c r="M28" s="47"/>
      <c r="N28" s="48"/>
      <c r="O28" s="48"/>
    </row>
    <row r="29" spans="1:15" ht="15.6" x14ac:dyDescent="0.3">
      <c r="A29" s="49" t="s">
        <v>181</v>
      </c>
      <c r="B29" s="49"/>
      <c r="C29" s="49"/>
      <c r="D29" s="49"/>
      <c r="E29" s="49"/>
      <c r="F29" s="49"/>
      <c r="G29" s="49"/>
      <c r="H29" s="49"/>
      <c r="I29" s="49"/>
      <c r="J29" s="49"/>
      <c r="K29" s="49"/>
      <c r="L29" s="49"/>
      <c r="M29" s="49"/>
      <c r="N29" s="49"/>
      <c r="O29" s="49"/>
    </row>
    <row r="30" spans="1:15" ht="15.6" x14ac:dyDescent="0.3">
      <c r="A30" s="49" t="s">
        <v>182</v>
      </c>
      <c r="B30" s="49"/>
      <c r="C30" s="49"/>
      <c r="D30" s="49"/>
      <c r="E30" s="49"/>
      <c r="F30" s="49"/>
      <c r="G30" s="49"/>
      <c r="H30" s="49"/>
      <c r="I30" s="49"/>
      <c r="J30" s="49"/>
      <c r="K30" s="49"/>
      <c r="L30" s="49"/>
      <c r="M30" s="49"/>
      <c r="N30" s="49"/>
      <c r="O30" s="49"/>
    </row>
  </sheetData>
  <mergeCells count="2">
    <mergeCell ref="A29:O29"/>
    <mergeCell ref="A30:O3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4BF7D-FEFB-43A1-B25C-98FC4DADE048}">
  <dimension ref="A1:AH367"/>
  <sheetViews>
    <sheetView topLeftCell="U1" workbookViewId="0">
      <selection activeCell="AI1" sqref="AI1"/>
    </sheetView>
  </sheetViews>
  <sheetFormatPr defaultRowHeight="14.4" x14ac:dyDescent="0.3"/>
  <cols>
    <col min="1" max="1" width="7.88671875" bestFit="1" customWidth="1"/>
    <col min="2" max="2" width="11.21875" bestFit="1" customWidth="1"/>
    <col min="3" max="3" width="6.88671875" bestFit="1" customWidth="1"/>
    <col min="4" max="4" width="10" bestFit="1" customWidth="1"/>
    <col min="5" max="5" width="7.44140625" style="2" bestFit="1" customWidth="1"/>
    <col min="6" max="6" width="21" hidden="1" customWidth="1"/>
    <col min="7" max="7" width="14.77734375" hidden="1" customWidth="1"/>
    <col min="8" max="8" width="6.21875" hidden="1" customWidth="1"/>
    <col min="9" max="9" width="18.5546875" hidden="1" customWidth="1"/>
    <col min="10" max="10" width="13.44140625" hidden="1" customWidth="1"/>
    <col min="11" max="11" width="7.77734375" hidden="1" customWidth="1"/>
    <col min="12" max="12" width="12.44140625" hidden="1" customWidth="1"/>
    <col min="13" max="13" width="20.21875" hidden="1" customWidth="1"/>
    <col min="14" max="14" width="24.33203125" hidden="1" customWidth="1"/>
    <col min="15" max="15" width="8.44140625" hidden="1" customWidth="1"/>
    <col min="16" max="16" width="24.21875" hidden="1" customWidth="1"/>
    <col min="17" max="17" width="33.5546875" hidden="1" customWidth="1"/>
    <col min="18" max="18" width="20.33203125" hidden="1" customWidth="1"/>
    <col min="19" max="19" width="27.88671875" hidden="1" customWidth="1"/>
    <col min="20" max="20" width="10.21875" bestFit="1" customWidth="1"/>
    <col min="21" max="21" width="11.109375" bestFit="1" customWidth="1"/>
    <col min="22" max="22" width="22.21875" bestFit="1" customWidth="1"/>
    <col min="23" max="23" width="10" bestFit="1" customWidth="1"/>
    <col min="24" max="24" width="14.44140625" bestFit="1" customWidth="1"/>
    <col min="25" max="25" width="28.88671875" bestFit="1" customWidth="1"/>
    <col min="26" max="26" width="8.6640625" bestFit="1" customWidth="1"/>
    <col min="27" max="27" width="29.109375" bestFit="1" customWidth="1"/>
    <col min="28" max="28" width="26.6640625" bestFit="1" customWidth="1"/>
    <col min="29" max="29" width="11.6640625" bestFit="1" customWidth="1"/>
    <col min="30" max="30" width="24.5546875" bestFit="1" customWidth="1"/>
    <col min="31" max="31" width="15.109375" bestFit="1" customWidth="1"/>
    <col min="32" max="32" width="14.6640625" bestFit="1" customWidth="1"/>
    <col min="33" max="33" width="14.5546875" style="2" bestFit="1" customWidth="1"/>
    <col min="34" max="34" width="12.88671875" bestFit="1" customWidth="1"/>
    <col min="35" max="35" width="11.21875" bestFit="1" customWidth="1"/>
    <col min="36" max="36" width="6.88671875" bestFit="1" customWidth="1"/>
    <col min="37" max="37" width="10" bestFit="1" customWidth="1"/>
    <col min="38" max="38" width="21" bestFit="1" customWidth="1"/>
    <col min="39" max="39" width="14.77734375" bestFit="1" customWidth="1"/>
    <col min="40" max="40" width="6.21875" bestFit="1" customWidth="1"/>
    <col min="41" max="41" width="18.5546875" bestFit="1" customWidth="1"/>
    <col min="42" max="42" width="13.44140625" bestFit="1" customWidth="1"/>
    <col min="43" max="43" width="7.77734375" bestFit="1" customWidth="1"/>
    <col min="44" max="44" width="12.44140625" bestFit="1" customWidth="1"/>
    <col min="45" max="45" width="20.21875" bestFit="1" customWidth="1"/>
    <col min="46" max="46" width="24.33203125" bestFit="1" customWidth="1"/>
    <col min="47" max="47" width="8.44140625" bestFit="1" customWidth="1"/>
    <col min="48" max="48" width="24.21875" bestFit="1" customWidth="1"/>
    <col min="49" max="49" width="33.5546875" bestFit="1" customWidth="1"/>
    <col min="50" max="50" width="20.33203125" bestFit="1" customWidth="1"/>
    <col min="51" max="51" width="27.88671875" bestFit="1" customWidth="1"/>
    <col min="52" max="52" width="10.21875" bestFit="1" customWidth="1"/>
    <col min="53" max="53" width="11.109375" bestFit="1" customWidth="1"/>
    <col min="54" max="54" width="22.21875" bestFit="1" customWidth="1"/>
    <col min="55" max="55" width="10" bestFit="1" customWidth="1"/>
    <col min="56" max="56" width="14.44140625" bestFit="1" customWidth="1"/>
    <col min="57" max="57" width="28.88671875" bestFit="1" customWidth="1"/>
    <col min="58" max="58" width="8.6640625" bestFit="1" customWidth="1"/>
    <col min="59" max="59" width="29.109375" bestFit="1" customWidth="1"/>
    <col min="60" max="60" width="26.6640625" bestFit="1" customWidth="1"/>
    <col min="61" max="61" width="11.6640625" bestFit="1" customWidth="1"/>
    <col min="62" max="62" width="24.5546875" bestFit="1" customWidth="1"/>
    <col min="63" max="63" width="15.109375" bestFit="1" customWidth="1"/>
    <col min="64" max="64" width="14.6640625" customWidth="1"/>
  </cols>
  <sheetData>
    <row r="1" spans="1:34" x14ac:dyDescent="0.3">
      <c r="A1" s="15" t="s">
        <v>49</v>
      </c>
      <c r="B1" t="s">
        <v>0</v>
      </c>
      <c r="C1" t="s">
        <v>1</v>
      </c>
      <c r="D1" t="s">
        <v>2</v>
      </c>
      <c r="E1" s="14" t="s">
        <v>17</v>
      </c>
      <c r="F1" t="s">
        <v>20</v>
      </c>
      <c r="G1" t="s">
        <v>21</v>
      </c>
      <c r="H1" t="s">
        <v>22</v>
      </c>
      <c r="I1" t="s">
        <v>23</v>
      </c>
      <c r="J1" t="s">
        <v>24</v>
      </c>
      <c r="K1" t="s">
        <v>25</v>
      </c>
      <c r="L1" t="s">
        <v>26</v>
      </c>
      <c r="M1" t="s">
        <v>27</v>
      </c>
      <c r="N1" t="s">
        <v>28</v>
      </c>
      <c r="O1" t="s">
        <v>29</v>
      </c>
      <c r="P1" t="s">
        <v>30</v>
      </c>
      <c r="Q1" t="s">
        <v>31</v>
      </c>
      <c r="R1" t="s">
        <v>32</v>
      </c>
      <c r="S1" t="s">
        <v>3</v>
      </c>
      <c r="T1" t="s">
        <v>4</v>
      </c>
      <c r="U1" t="s">
        <v>5</v>
      </c>
      <c r="V1" t="s">
        <v>6</v>
      </c>
      <c r="W1" t="s">
        <v>7</v>
      </c>
      <c r="X1" t="s">
        <v>8</v>
      </c>
      <c r="Y1" t="s">
        <v>9</v>
      </c>
      <c r="Z1" t="s">
        <v>10</v>
      </c>
      <c r="AA1" t="s">
        <v>11</v>
      </c>
      <c r="AB1" t="s">
        <v>12</v>
      </c>
      <c r="AC1" t="s">
        <v>13</v>
      </c>
      <c r="AD1" t="s">
        <v>14</v>
      </c>
      <c r="AE1" t="s">
        <v>15</v>
      </c>
      <c r="AF1" t="s">
        <v>16</v>
      </c>
      <c r="AG1" s="14" t="s">
        <v>76</v>
      </c>
      <c r="AH1" s="15" t="s">
        <v>81</v>
      </c>
    </row>
    <row r="2" spans="1:34" x14ac:dyDescent="0.3">
      <c r="A2">
        <v>1</v>
      </c>
      <c r="B2" s="1" t="s">
        <v>18</v>
      </c>
      <c r="C2">
        <v>2013</v>
      </c>
      <c r="D2" s="1" t="s">
        <v>19</v>
      </c>
      <c r="E2" s="2">
        <v>1476.7999999999997</v>
      </c>
      <c r="F2">
        <v>107.5</v>
      </c>
      <c r="G2">
        <v>106.3</v>
      </c>
      <c r="H2">
        <v>108.1</v>
      </c>
      <c r="I2">
        <v>104.9</v>
      </c>
      <c r="J2">
        <v>106.1</v>
      </c>
      <c r="K2">
        <v>103.9</v>
      </c>
      <c r="L2">
        <v>101.9</v>
      </c>
      <c r="M2">
        <v>106.1</v>
      </c>
      <c r="N2">
        <v>106.8</v>
      </c>
      <c r="O2">
        <v>103.1</v>
      </c>
      <c r="P2">
        <v>104.8</v>
      </c>
      <c r="Q2">
        <v>106.7</v>
      </c>
      <c r="R2">
        <v>105.5</v>
      </c>
      <c r="S2">
        <v>105.1</v>
      </c>
      <c r="T2">
        <v>106.5</v>
      </c>
      <c r="U2">
        <v>105.8</v>
      </c>
      <c r="V2">
        <v>106.4</v>
      </c>
      <c r="W2" s="1">
        <v>139.12</v>
      </c>
      <c r="X2">
        <v>105.5</v>
      </c>
      <c r="Y2">
        <v>104.8</v>
      </c>
      <c r="Z2">
        <v>104</v>
      </c>
      <c r="AA2">
        <v>103.3</v>
      </c>
      <c r="AB2">
        <v>103.4</v>
      </c>
      <c r="AC2">
        <v>103.8</v>
      </c>
      <c r="AD2">
        <v>104.7</v>
      </c>
      <c r="AE2">
        <v>104</v>
      </c>
      <c r="AF2">
        <v>105.1</v>
      </c>
      <c r="AG2" s="2">
        <f>AVERAGE(All_India_Index_Upto_April23[[#This Row],[Food]:[General index]])</f>
        <v>155.35785714285717</v>
      </c>
      <c r="AH2" s="7">
        <f>DATE(All_India_Index_Upto_April23[[#This Row],[Year]],MONTH(1&amp;TRIM(All_India_Index_Upto_April23[[#This Row],[Month]])),1)</f>
        <v>41275</v>
      </c>
    </row>
    <row r="3" spans="1:34" x14ac:dyDescent="0.3">
      <c r="A3">
        <v>2</v>
      </c>
      <c r="B3" s="1" t="s">
        <v>33</v>
      </c>
      <c r="C3">
        <v>2013</v>
      </c>
      <c r="D3" s="1" t="s">
        <v>19</v>
      </c>
      <c r="E3" s="2">
        <v>1481.6000000000001</v>
      </c>
      <c r="F3">
        <v>110.5</v>
      </c>
      <c r="G3">
        <v>109.1</v>
      </c>
      <c r="H3">
        <v>113</v>
      </c>
      <c r="I3">
        <v>103.6</v>
      </c>
      <c r="J3">
        <v>103.4</v>
      </c>
      <c r="K3">
        <v>102.3</v>
      </c>
      <c r="L3">
        <v>102.9</v>
      </c>
      <c r="M3">
        <v>105.8</v>
      </c>
      <c r="N3">
        <v>105.1</v>
      </c>
      <c r="O3">
        <v>101.8</v>
      </c>
      <c r="P3">
        <v>105.1</v>
      </c>
      <c r="Q3">
        <v>107.9</v>
      </c>
      <c r="R3">
        <v>105.9</v>
      </c>
      <c r="S3">
        <v>105.2</v>
      </c>
      <c r="T3">
        <v>105.9</v>
      </c>
      <c r="U3">
        <v>105</v>
      </c>
      <c r="V3">
        <v>105.8</v>
      </c>
      <c r="W3" s="1">
        <v>100.3</v>
      </c>
      <c r="X3">
        <v>105.4</v>
      </c>
      <c r="Y3">
        <v>104.8</v>
      </c>
      <c r="Z3">
        <v>104.1</v>
      </c>
      <c r="AA3">
        <v>103.2</v>
      </c>
      <c r="AB3">
        <v>102.9</v>
      </c>
      <c r="AC3">
        <v>103.5</v>
      </c>
      <c r="AD3">
        <v>104.3</v>
      </c>
      <c r="AE3">
        <v>103.7</v>
      </c>
      <c r="AF3">
        <v>104</v>
      </c>
      <c r="AG3" s="2">
        <f>AVERAGE(All_India_Index_Upto_April23[[#This Row],[Food]:[General index]])</f>
        <v>154.14642857142857</v>
      </c>
      <c r="AH3" s="7">
        <f>DATE(All_India_Index_Upto_April23[[#This Row],[Year]],MONTH(1&amp;TRIM(All_India_Index_Upto_April23[[#This Row],[Month]])),1)</f>
        <v>41275</v>
      </c>
    </row>
    <row r="4" spans="1:34" x14ac:dyDescent="0.3">
      <c r="A4">
        <v>3</v>
      </c>
      <c r="B4" s="1" t="s">
        <v>34</v>
      </c>
      <c r="C4">
        <v>2013</v>
      </c>
      <c r="D4" s="1" t="s">
        <v>19</v>
      </c>
      <c r="E4" s="2">
        <v>1478.4</v>
      </c>
      <c r="F4">
        <v>108.4</v>
      </c>
      <c r="G4">
        <v>107.3</v>
      </c>
      <c r="H4">
        <v>110</v>
      </c>
      <c r="I4">
        <v>104.4</v>
      </c>
      <c r="J4">
        <v>105.1</v>
      </c>
      <c r="K4">
        <v>103.2</v>
      </c>
      <c r="L4">
        <v>102.2</v>
      </c>
      <c r="M4">
        <v>106</v>
      </c>
      <c r="N4">
        <v>106.2</v>
      </c>
      <c r="O4">
        <v>102.7</v>
      </c>
      <c r="P4">
        <v>104.9</v>
      </c>
      <c r="Q4">
        <v>107.3</v>
      </c>
      <c r="R4">
        <v>105.6</v>
      </c>
      <c r="S4">
        <v>105.1</v>
      </c>
      <c r="T4">
        <v>106.3</v>
      </c>
      <c r="U4">
        <v>105.5</v>
      </c>
      <c r="V4">
        <v>106.2</v>
      </c>
      <c r="W4" s="1">
        <v>100.3</v>
      </c>
      <c r="X4">
        <v>105.5</v>
      </c>
      <c r="Y4">
        <v>104.8</v>
      </c>
      <c r="Z4">
        <v>104</v>
      </c>
      <c r="AA4">
        <v>103.2</v>
      </c>
      <c r="AB4">
        <v>103.1</v>
      </c>
      <c r="AC4">
        <v>103.6</v>
      </c>
      <c r="AD4">
        <v>104.5</v>
      </c>
      <c r="AE4">
        <v>103.9</v>
      </c>
      <c r="AF4">
        <v>104.6</v>
      </c>
      <c r="AG4" s="2">
        <f>AVERAGE(All_India_Index_Upto_April23[[#This Row],[Food]:[General index]])</f>
        <v>154.01071428571427</v>
      </c>
      <c r="AH4" s="7">
        <f>DATE(All_India_Index_Upto_April23[[#This Row],[Year]],MONTH(1&amp;TRIM(All_India_Index_Upto_April23[[#This Row],[Month]])),1)</f>
        <v>41275</v>
      </c>
    </row>
    <row r="5" spans="1:34" x14ac:dyDescent="0.3">
      <c r="A5">
        <v>4</v>
      </c>
      <c r="B5" s="1" t="s">
        <v>18</v>
      </c>
      <c r="C5">
        <v>2013</v>
      </c>
      <c r="D5" s="1" t="s">
        <v>35</v>
      </c>
      <c r="E5" s="2">
        <v>1485.9999999999998</v>
      </c>
      <c r="F5">
        <v>109.2</v>
      </c>
      <c r="G5">
        <v>108.7</v>
      </c>
      <c r="H5">
        <v>110.2</v>
      </c>
      <c r="I5">
        <v>105.4</v>
      </c>
      <c r="J5">
        <v>106.7</v>
      </c>
      <c r="K5">
        <v>104</v>
      </c>
      <c r="L5">
        <v>102.4</v>
      </c>
      <c r="M5">
        <v>105.9</v>
      </c>
      <c r="N5">
        <v>105.7</v>
      </c>
      <c r="O5">
        <v>103.1</v>
      </c>
      <c r="P5">
        <v>105.1</v>
      </c>
      <c r="Q5">
        <v>107.7</v>
      </c>
      <c r="R5">
        <v>106.3</v>
      </c>
      <c r="S5">
        <v>105.6</v>
      </c>
      <c r="T5">
        <v>107.1</v>
      </c>
      <c r="U5">
        <v>106.3</v>
      </c>
      <c r="V5">
        <v>107</v>
      </c>
      <c r="W5" s="1">
        <v>139.12</v>
      </c>
      <c r="X5">
        <v>106.2</v>
      </c>
      <c r="Y5">
        <v>105.2</v>
      </c>
      <c r="Z5">
        <v>104.4</v>
      </c>
      <c r="AA5">
        <v>103.9</v>
      </c>
      <c r="AB5">
        <v>104</v>
      </c>
      <c r="AC5">
        <v>104.1</v>
      </c>
      <c r="AD5">
        <v>104.6</v>
      </c>
      <c r="AE5">
        <v>104.4</v>
      </c>
      <c r="AF5">
        <v>105.8</v>
      </c>
      <c r="AG5" s="2">
        <f>AVERAGE(All_India_Index_Upto_April23[[#This Row],[Food]:[General index]])</f>
        <v>156.21857142857138</v>
      </c>
      <c r="AH5" s="7">
        <f>DATE(All_India_Index_Upto_April23[[#This Row],[Year]],MONTH(1&amp;TRIM(All_India_Index_Upto_April23[[#This Row],[Month]])),1)</f>
        <v>41306</v>
      </c>
    </row>
    <row r="6" spans="1:34" x14ac:dyDescent="0.3">
      <c r="A6">
        <v>5</v>
      </c>
      <c r="B6" s="1" t="s">
        <v>33</v>
      </c>
      <c r="C6">
        <v>2013</v>
      </c>
      <c r="D6" s="1" t="s">
        <v>35</v>
      </c>
      <c r="E6" s="2">
        <v>1496.6000000000001</v>
      </c>
      <c r="F6">
        <v>112.9</v>
      </c>
      <c r="G6">
        <v>112.9</v>
      </c>
      <c r="H6">
        <v>116.9</v>
      </c>
      <c r="I6">
        <v>104</v>
      </c>
      <c r="J6">
        <v>103.5</v>
      </c>
      <c r="K6">
        <v>103.1</v>
      </c>
      <c r="L6">
        <v>104.9</v>
      </c>
      <c r="M6">
        <v>104.1</v>
      </c>
      <c r="N6">
        <v>103.8</v>
      </c>
      <c r="O6">
        <v>102.3</v>
      </c>
      <c r="P6">
        <v>106</v>
      </c>
      <c r="Q6">
        <v>109</v>
      </c>
      <c r="R6">
        <v>107.2</v>
      </c>
      <c r="S6">
        <v>106</v>
      </c>
      <c r="T6">
        <v>106.6</v>
      </c>
      <c r="U6">
        <v>105.5</v>
      </c>
      <c r="V6">
        <v>106.4</v>
      </c>
      <c r="W6" s="1">
        <v>100.4</v>
      </c>
      <c r="X6">
        <v>105.7</v>
      </c>
      <c r="Y6">
        <v>105.2</v>
      </c>
      <c r="Z6">
        <v>104.7</v>
      </c>
      <c r="AA6">
        <v>104.4</v>
      </c>
      <c r="AB6">
        <v>103.3</v>
      </c>
      <c r="AC6">
        <v>103.7</v>
      </c>
      <c r="AD6">
        <v>104.3</v>
      </c>
      <c r="AE6">
        <v>104.3</v>
      </c>
      <c r="AF6">
        <v>104.7</v>
      </c>
      <c r="AG6" s="2">
        <f>AVERAGE(All_India_Index_Upto_April23[[#This Row],[Food]:[General index]])</f>
        <v>155.44285714285715</v>
      </c>
      <c r="AH6" s="7">
        <f>DATE(All_India_Index_Upto_April23[[#This Row],[Year]],MONTH(1&amp;TRIM(All_India_Index_Upto_April23[[#This Row],[Month]])),1)</f>
        <v>41306</v>
      </c>
    </row>
    <row r="7" spans="1:34" x14ac:dyDescent="0.3">
      <c r="A7">
        <v>6</v>
      </c>
      <c r="B7" s="1" t="s">
        <v>34</v>
      </c>
      <c r="C7">
        <v>2013</v>
      </c>
      <c r="D7" s="1" t="s">
        <v>35</v>
      </c>
      <c r="E7" s="2">
        <v>1489.9</v>
      </c>
      <c r="F7">
        <v>110.4</v>
      </c>
      <c r="G7">
        <v>110.2</v>
      </c>
      <c r="H7">
        <v>112.8</v>
      </c>
      <c r="I7">
        <v>104.9</v>
      </c>
      <c r="J7">
        <v>105.5</v>
      </c>
      <c r="K7">
        <v>103.6</v>
      </c>
      <c r="L7">
        <v>103.2</v>
      </c>
      <c r="M7">
        <v>105.3</v>
      </c>
      <c r="N7">
        <v>105.1</v>
      </c>
      <c r="O7">
        <v>102.8</v>
      </c>
      <c r="P7">
        <v>105.5</v>
      </c>
      <c r="Q7">
        <v>108.3</v>
      </c>
      <c r="R7">
        <v>106.6</v>
      </c>
      <c r="S7">
        <v>105.7</v>
      </c>
      <c r="T7">
        <v>106.9</v>
      </c>
      <c r="U7">
        <v>106</v>
      </c>
      <c r="V7">
        <v>106.8</v>
      </c>
      <c r="W7" s="1">
        <v>100.4</v>
      </c>
      <c r="X7">
        <v>106</v>
      </c>
      <c r="Y7">
        <v>105.2</v>
      </c>
      <c r="Z7">
        <v>104.5</v>
      </c>
      <c r="AA7">
        <v>104.2</v>
      </c>
      <c r="AB7">
        <v>103.6</v>
      </c>
      <c r="AC7">
        <v>103.9</v>
      </c>
      <c r="AD7">
        <v>104.5</v>
      </c>
      <c r="AE7">
        <v>104.4</v>
      </c>
      <c r="AF7">
        <v>105.3</v>
      </c>
      <c r="AG7" s="2">
        <f>AVERAGE(All_India_Index_Upto_April23[[#This Row],[Food]:[General index]])</f>
        <v>155.05357142857142</v>
      </c>
      <c r="AH7" s="7">
        <f>DATE(All_India_Index_Upto_April23[[#This Row],[Year]],MONTH(1&amp;TRIM(All_India_Index_Upto_April23[[#This Row],[Month]])),1)</f>
        <v>41306</v>
      </c>
    </row>
    <row r="8" spans="1:34" x14ac:dyDescent="0.3">
      <c r="A8">
        <v>7</v>
      </c>
      <c r="B8" s="1" t="s">
        <v>18</v>
      </c>
      <c r="C8">
        <v>2013</v>
      </c>
      <c r="D8" s="1" t="s">
        <v>36</v>
      </c>
      <c r="E8" s="2">
        <v>1488.7</v>
      </c>
      <c r="F8">
        <v>110.2</v>
      </c>
      <c r="G8">
        <v>108.8</v>
      </c>
      <c r="H8">
        <v>109.9</v>
      </c>
      <c r="I8">
        <v>105.6</v>
      </c>
      <c r="J8">
        <v>106.2</v>
      </c>
      <c r="K8">
        <v>105.7</v>
      </c>
      <c r="L8">
        <v>101.4</v>
      </c>
      <c r="M8">
        <v>105.7</v>
      </c>
      <c r="N8">
        <v>105</v>
      </c>
      <c r="O8">
        <v>103.3</v>
      </c>
      <c r="P8">
        <v>105.6</v>
      </c>
      <c r="Q8">
        <v>108.2</v>
      </c>
      <c r="R8">
        <v>106.6</v>
      </c>
      <c r="S8">
        <v>106.5</v>
      </c>
      <c r="T8">
        <v>107.6</v>
      </c>
      <c r="U8">
        <v>106.8</v>
      </c>
      <c r="V8">
        <v>107.5</v>
      </c>
      <c r="W8" s="1">
        <v>139.12</v>
      </c>
      <c r="X8">
        <v>106.1</v>
      </c>
      <c r="Y8">
        <v>105.6</v>
      </c>
      <c r="Z8">
        <v>104.7</v>
      </c>
      <c r="AA8">
        <v>104.6</v>
      </c>
      <c r="AB8">
        <v>104</v>
      </c>
      <c r="AC8">
        <v>104.3</v>
      </c>
      <c r="AD8">
        <v>104.3</v>
      </c>
      <c r="AE8">
        <v>104.6</v>
      </c>
      <c r="AF8">
        <v>106</v>
      </c>
      <c r="AG8" s="2">
        <f>AVERAGE(All_India_Index_Upto_April23[[#This Row],[Food]:[General index]])</f>
        <v>156.52214285714285</v>
      </c>
      <c r="AH8" s="7">
        <f>DATE(All_India_Index_Upto_April23[[#This Row],[Year]],MONTH(1&amp;TRIM(All_India_Index_Upto_April23[[#This Row],[Month]])),1)</f>
        <v>41334</v>
      </c>
    </row>
    <row r="9" spans="1:34" x14ac:dyDescent="0.3">
      <c r="A9">
        <v>8</v>
      </c>
      <c r="B9" s="1" t="s">
        <v>33</v>
      </c>
      <c r="C9">
        <v>2013</v>
      </c>
      <c r="D9" s="1" t="s">
        <v>36</v>
      </c>
      <c r="E9" s="2">
        <v>1493.6</v>
      </c>
      <c r="F9">
        <v>113.9</v>
      </c>
      <c r="G9">
        <v>111.4</v>
      </c>
      <c r="H9">
        <v>113.2</v>
      </c>
      <c r="I9">
        <v>104.3</v>
      </c>
      <c r="J9">
        <v>102.7</v>
      </c>
      <c r="K9">
        <v>104.9</v>
      </c>
      <c r="L9">
        <v>103.8</v>
      </c>
      <c r="M9">
        <v>103.5</v>
      </c>
      <c r="N9">
        <v>102.6</v>
      </c>
      <c r="O9">
        <v>102.4</v>
      </c>
      <c r="P9">
        <v>107</v>
      </c>
      <c r="Q9">
        <v>109.8</v>
      </c>
      <c r="R9">
        <v>107.3</v>
      </c>
      <c r="S9">
        <v>106.8</v>
      </c>
      <c r="T9">
        <v>107.2</v>
      </c>
      <c r="U9">
        <v>106</v>
      </c>
      <c r="V9">
        <v>107</v>
      </c>
      <c r="W9" s="1">
        <v>100.4</v>
      </c>
      <c r="X9">
        <v>106</v>
      </c>
      <c r="Y9">
        <v>105.7</v>
      </c>
      <c r="Z9">
        <v>105.2</v>
      </c>
      <c r="AA9">
        <v>105.5</v>
      </c>
      <c r="AB9">
        <v>103.5</v>
      </c>
      <c r="AC9">
        <v>103.8</v>
      </c>
      <c r="AD9">
        <v>104.2</v>
      </c>
      <c r="AE9">
        <v>104.9</v>
      </c>
      <c r="AF9">
        <v>105</v>
      </c>
      <c r="AG9" s="2">
        <f>AVERAGE(All_India_Index_Upto_April23[[#This Row],[Food]:[General index]])</f>
        <v>155.41428571428574</v>
      </c>
      <c r="AH9" s="7">
        <f>DATE(All_India_Index_Upto_April23[[#This Row],[Year]],MONTH(1&amp;TRIM(All_India_Index_Upto_April23[[#This Row],[Month]])),1)</f>
        <v>41334</v>
      </c>
    </row>
    <row r="10" spans="1:34" x14ac:dyDescent="0.3">
      <c r="A10">
        <v>9</v>
      </c>
      <c r="B10" s="1" t="s">
        <v>34</v>
      </c>
      <c r="C10">
        <v>2013</v>
      </c>
      <c r="D10" s="1" t="s">
        <v>36</v>
      </c>
      <c r="E10" s="2">
        <v>1490.6000000000001</v>
      </c>
      <c r="F10">
        <v>111.4</v>
      </c>
      <c r="G10">
        <v>109.7</v>
      </c>
      <c r="H10">
        <v>111.2</v>
      </c>
      <c r="I10">
        <v>105.1</v>
      </c>
      <c r="J10">
        <v>104.9</v>
      </c>
      <c r="K10">
        <v>105.3</v>
      </c>
      <c r="L10">
        <v>102.2</v>
      </c>
      <c r="M10">
        <v>105</v>
      </c>
      <c r="N10">
        <v>104.2</v>
      </c>
      <c r="O10">
        <v>103</v>
      </c>
      <c r="P10">
        <v>106.2</v>
      </c>
      <c r="Q10">
        <v>108.9</v>
      </c>
      <c r="R10">
        <v>106.9</v>
      </c>
      <c r="S10">
        <v>106.6</v>
      </c>
      <c r="T10">
        <v>107.4</v>
      </c>
      <c r="U10">
        <v>106.5</v>
      </c>
      <c r="V10">
        <v>107.3</v>
      </c>
      <c r="W10" s="1">
        <v>100.4</v>
      </c>
      <c r="X10">
        <v>106.1</v>
      </c>
      <c r="Y10">
        <v>105.6</v>
      </c>
      <c r="Z10">
        <v>104.9</v>
      </c>
      <c r="AA10">
        <v>105.1</v>
      </c>
      <c r="AB10">
        <v>103.7</v>
      </c>
      <c r="AC10">
        <v>104</v>
      </c>
      <c r="AD10">
        <v>104.3</v>
      </c>
      <c r="AE10">
        <v>104.7</v>
      </c>
      <c r="AF10">
        <v>105.5</v>
      </c>
      <c r="AG10" s="2">
        <f>AVERAGE(All_India_Index_Upto_April23[[#This Row],[Food]:[General index]])</f>
        <v>155.2392857142857</v>
      </c>
      <c r="AH10" s="7">
        <f>DATE(All_India_Index_Upto_April23[[#This Row],[Year]],MONTH(1&amp;TRIM(All_India_Index_Upto_April23[[#This Row],[Month]])),1)</f>
        <v>41334</v>
      </c>
    </row>
    <row r="11" spans="1:34" x14ac:dyDescent="0.3">
      <c r="A11">
        <v>10</v>
      </c>
      <c r="B11" s="1" t="s">
        <v>18</v>
      </c>
      <c r="C11">
        <v>2013</v>
      </c>
      <c r="D11" s="1" t="s">
        <v>37</v>
      </c>
      <c r="E11" s="2">
        <v>1492.8999999999999</v>
      </c>
      <c r="F11">
        <v>110.2</v>
      </c>
      <c r="G11">
        <v>109.5</v>
      </c>
      <c r="H11">
        <v>106.9</v>
      </c>
      <c r="I11">
        <v>106.3</v>
      </c>
      <c r="J11">
        <v>105.7</v>
      </c>
      <c r="K11">
        <v>108.3</v>
      </c>
      <c r="L11">
        <v>103.4</v>
      </c>
      <c r="M11">
        <v>105.7</v>
      </c>
      <c r="N11">
        <v>104.2</v>
      </c>
      <c r="O11">
        <v>103.2</v>
      </c>
      <c r="P11">
        <v>106.5</v>
      </c>
      <c r="Q11">
        <v>108.8</v>
      </c>
      <c r="R11">
        <v>107.1</v>
      </c>
      <c r="S11">
        <v>107.1</v>
      </c>
      <c r="T11">
        <v>108.1</v>
      </c>
      <c r="U11">
        <v>107.4</v>
      </c>
      <c r="V11">
        <v>108</v>
      </c>
      <c r="W11" s="1">
        <v>139.12</v>
      </c>
      <c r="X11">
        <v>106.5</v>
      </c>
      <c r="Y11">
        <v>106.1</v>
      </c>
      <c r="Z11">
        <v>105.1</v>
      </c>
      <c r="AA11">
        <v>104.4</v>
      </c>
      <c r="AB11">
        <v>104.5</v>
      </c>
      <c r="AC11">
        <v>104.8</v>
      </c>
      <c r="AD11">
        <v>102.7</v>
      </c>
      <c r="AE11">
        <v>104.6</v>
      </c>
      <c r="AF11">
        <v>106.4</v>
      </c>
      <c r="AG11" s="2">
        <f>AVERAGE(All_India_Index_Upto_April23[[#This Row],[Food]:[General index]])</f>
        <v>156.91142857142856</v>
      </c>
      <c r="AH11" s="7">
        <f>DATE(All_India_Index_Upto_April23[[#This Row],[Year]],MONTH(1&amp;TRIM(All_India_Index_Upto_April23[[#This Row],[Month]])),1)</f>
        <v>41365</v>
      </c>
    </row>
    <row r="12" spans="1:34" x14ac:dyDescent="0.3">
      <c r="A12">
        <v>11</v>
      </c>
      <c r="B12" s="1" t="s">
        <v>33</v>
      </c>
      <c r="C12">
        <v>2013</v>
      </c>
      <c r="D12" s="1" t="s">
        <v>37</v>
      </c>
      <c r="E12" s="2">
        <v>1506.1999999999998</v>
      </c>
      <c r="F12">
        <v>114.6</v>
      </c>
      <c r="G12">
        <v>113.4</v>
      </c>
      <c r="H12">
        <v>106</v>
      </c>
      <c r="I12">
        <v>104.7</v>
      </c>
      <c r="J12">
        <v>102.1</v>
      </c>
      <c r="K12">
        <v>109.5</v>
      </c>
      <c r="L12">
        <v>109.7</v>
      </c>
      <c r="M12">
        <v>104.6</v>
      </c>
      <c r="N12">
        <v>102</v>
      </c>
      <c r="O12">
        <v>103.5</v>
      </c>
      <c r="P12">
        <v>108.2</v>
      </c>
      <c r="Q12">
        <v>110.6</v>
      </c>
      <c r="R12">
        <v>108.8</v>
      </c>
      <c r="S12">
        <v>108.5</v>
      </c>
      <c r="T12">
        <v>107.9</v>
      </c>
      <c r="U12">
        <v>106.4</v>
      </c>
      <c r="V12">
        <v>107.7</v>
      </c>
      <c r="W12" s="1">
        <v>100.5</v>
      </c>
      <c r="X12">
        <v>106.4</v>
      </c>
      <c r="Y12">
        <v>106.5</v>
      </c>
      <c r="Z12">
        <v>105.7</v>
      </c>
      <c r="AA12">
        <v>105</v>
      </c>
      <c r="AB12">
        <v>104</v>
      </c>
      <c r="AC12">
        <v>105.2</v>
      </c>
      <c r="AD12">
        <v>103.2</v>
      </c>
      <c r="AE12">
        <v>105.1</v>
      </c>
      <c r="AF12">
        <v>105.7</v>
      </c>
      <c r="AG12" s="2">
        <f>AVERAGE(All_India_Index_Upto_April23[[#This Row],[Food]:[General index]])</f>
        <v>156.4892857142857</v>
      </c>
      <c r="AH12" s="7">
        <f>DATE(All_India_Index_Upto_April23[[#This Row],[Year]],MONTH(1&amp;TRIM(All_India_Index_Upto_April23[[#This Row],[Month]])),1)</f>
        <v>41365</v>
      </c>
    </row>
    <row r="13" spans="1:34" x14ac:dyDescent="0.3">
      <c r="A13">
        <v>12</v>
      </c>
      <c r="B13" s="1" t="s">
        <v>34</v>
      </c>
      <c r="C13">
        <v>2013</v>
      </c>
      <c r="D13" s="1" t="s">
        <v>37</v>
      </c>
      <c r="E13" s="2">
        <v>1497.7</v>
      </c>
      <c r="F13">
        <v>111.6</v>
      </c>
      <c r="G13">
        <v>110.9</v>
      </c>
      <c r="H13">
        <v>106.6</v>
      </c>
      <c r="I13">
        <v>105.7</v>
      </c>
      <c r="J13">
        <v>104.4</v>
      </c>
      <c r="K13">
        <v>108.9</v>
      </c>
      <c r="L13">
        <v>105.5</v>
      </c>
      <c r="M13">
        <v>105.3</v>
      </c>
      <c r="N13">
        <v>103.5</v>
      </c>
      <c r="O13">
        <v>103.3</v>
      </c>
      <c r="P13">
        <v>107.2</v>
      </c>
      <c r="Q13">
        <v>109.6</v>
      </c>
      <c r="R13">
        <v>107.7</v>
      </c>
      <c r="S13">
        <v>107.5</v>
      </c>
      <c r="T13">
        <v>108</v>
      </c>
      <c r="U13">
        <v>107</v>
      </c>
      <c r="V13">
        <v>107.9</v>
      </c>
      <c r="W13" s="1">
        <v>100.5</v>
      </c>
      <c r="X13">
        <v>106.5</v>
      </c>
      <c r="Y13">
        <v>106.3</v>
      </c>
      <c r="Z13">
        <v>105.3</v>
      </c>
      <c r="AA13">
        <v>104.7</v>
      </c>
      <c r="AB13">
        <v>104.2</v>
      </c>
      <c r="AC13">
        <v>105</v>
      </c>
      <c r="AD13">
        <v>102.9</v>
      </c>
      <c r="AE13">
        <v>104.8</v>
      </c>
      <c r="AF13">
        <v>106.1</v>
      </c>
      <c r="AG13" s="2">
        <f>AVERAGE(All_India_Index_Upto_April23[[#This Row],[Food]:[General index]])</f>
        <v>155.87857142857143</v>
      </c>
      <c r="AH13" s="7">
        <f>DATE(All_India_Index_Upto_April23[[#This Row],[Year]],MONTH(1&amp;TRIM(All_India_Index_Upto_April23[[#This Row],[Month]])),1)</f>
        <v>41365</v>
      </c>
    </row>
    <row r="14" spans="1:34" x14ac:dyDescent="0.3">
      <c r="A14">
        <v>13</v>
      </c>
      <c r="B14" s="1" t="s">
        <v>18</v>
      </c>
      <c r="C14">
        <v>2013</v>
      </c>
      <c r="D14" s="1" t="s">
        <v>38</v>
      </c>
      <c r="E14" s="2">
        <v>1502.1</v>
      </c>
      <c r="F14">
        <v>110.9</v>
      </c>
      <c r="G14">
        <v>109.8</v>
      </c>
      <c r="H14">
        <v>105.9</v>
      </c>
      <c r="I14">
        <v>107.5</v>
      </c>
      <c r="J14">
        <v>105.3</v>
      </c>
      <c r="K14">
        <v>108.1</v>
      </c>
      <c r="L14">
        <v>107.3</v>
      </c>
      <c r="M14">
        <v>106.1</v>
      </c>
      <c r="N14">
        <v>103.7</v>
      </c>
      <c r="O14">
        <v>104</v>
      </c>
      <c r="P14">
        <v>107.4</v>
      </c>
      <c r="Q14">
        <v>109.9</v>
      </c>
      <c r="R14">
        <v>108.1</v>
      </c>
      <c r="S14">
        <v>108.1</v>
      </c>
      <c r="T14">
        <v>108.8</v>
      </c>
      <c r="U14">
        <v>107.9</v>
      </c>
      <c r="V14">
        <v>108.6</v>
      </c>
      <c r="W14" s="1">
        <v>139.12</v>
      </c>
      <c r="X14">
        <v>107.5</v>
      </c>
      <c r="Y14">
        <v>106.8</v>
      </c>
      <c r="Z14">
        <v>105.7</v>
      </c>
      <c r="AA14">
        <v>104.1</v>
      </c>
      <c r="AB14">
        <v>105</v>
      </c>
      <c r="AC14">
        <v>105.5</v>
      </c>
      <c r="AD14">
        <v>102.1</v>
      </c>
      <c r="AE14">
        <v>104.8</v>
      </c>
      <c r="AF14">
        <v>107.2</v>
      </c>
      <c r="AG14" s="2">
        <f>AVERAGE(All_India_Index_Upto_April23[[#This Row],[Food]:[General index]])</f>
        <v>157.76142857142855</v>
      </c>
      <c r="AH14" s="7">
        <f>DATE(All_India_Index_Upto_April23[[#This Row],[Year]],MONTH(1&amp;TRIM(All_India_Index_Upto_April23[[#This Row],[Month]])),1)</f>
        <v>41395</v>
      </c>
    </row>
    <row r="15" spans="1:34" x14ac:dyDescent="0.3">
      <c r="A15">
        <v>14</v>
      </c>
      <c r="B15" s="1" t="s">
        <v>33</v>
      </c>
      <c r="C15">
        <v>2013</v>
      </c>
      <c r="D15" s="1" t="s">
        <v>38</v>
      </c>
      <c r="E15" s="2">
        <v>1526.9999999999998</v>
      </c>
      <c r="F15">
        <v>115.4</v>
      </c>
      <c r="G15">
        <v>114.2</v>
      </c>
      <c r="H15">
        <v>102.7</v>
      </c>
      <c r="I15">
        <v>105.5</v>
      </c>
      <c r="J15">
        <v>101.5</v>
      </c>
      <c r="K15">
        <v>110.6</v>
      </c>
      <c r="L15">
        <v>123.7</v>
      </c>
      <c r="M15">
        <v>105.2</v>
      </c>
      <c r="N15">
        <v>101.9</v>
      </c>
      <c r="O15">
        <v>105</v>
      </c>
      <c r="P15">
        <v>109.1</v>
      </c>
      <c r="Q15">
        <v>111.3</v>
      </c>
      <c r="R15">
        <v>111.1</v>
      </c>
      <c r="S15">
        <v>109.8</v>
      </c>
      <c r="T15">
        <v>108.5</v>
      </c>
      <c r="U15">
        <v>106.7</v>
      </c>
      <c r="V15">
        <v>108.3</v>
      </c>
      <c r="W15" s="1">
        <v>100.5</v>
      </c>
      <c r="X15">
        <v>107.2</v>
      </c>
      <c r="Y15">
        <v>107.1</v>
      </c>
      <c r="Z15">
        <v>106.2</v>
      </c>
      <c r="AA15">
        <v>103.9</v>
      </c>
      <c r="AB15">
        <v>104.6</v>
      </c>
      <c r="AC15">
        <v>105.7</v>
      </c>
      <c r="AD15">
        <v>102.6</v>
      </c>
      <c r="AE15">
        <v>104.9</v>
      </c>
      <c r="AF15">
        <v>106.6</v>
      </c>
      <c r="AG15" s="2">
        <f>AVERAGE(All_India_Index_Upto_April23[[#This Row],[Food]:[General index]])</f>
        <v>158.1</v>
      </c>
      <c r="AH15" s="7">
        <f>DATE(All_India_Index_Upto_April23[[#This Row],[Year]],MONTH(1&amp;TRIM(All_India_Index_Upto_April23[[#This Row],[Month]])),1)</f>
        <v>41395</v>
      </c>
    </row>
    <row r="16" spans="1:34" x14ac:dyDescent="0.3">
      <c r="A16">
        <v>15</v>
      </c>
      <c r="B16" s="1" t="s">
        <v>34</v>
      </c>
      <c r="C16">
        <v>2013</v>
      </c>
      <c r="D16" s="1" t="s">
        <v>38</v>
      </c>
      <c r="E16" s="2">
        <v>1510.7999999999997</v>
      </c>
      <c r="F16">
        <v>112.3</v>
      </c>
      <c r="G16">
        <v>111.3</v>
      </c>
      <c r="H16">
        <v>104.7</v>
      </c>
      <c r="I16">
        <v>106.8</v>
      </c>
      <c r="J16">
        <v>103.9</v>
      </c>
      <c r="K16">
        <v>109.3</v>
      </c>
      <c r="L16">
        <v>112.9</v>
      </c>
      <c r="M16">
        <v>105.8</v>
      </c>
      <c r="N16">
        <v>103.1</v>
      </c>
      <c r="O16">
        <v>104.3</v>
      </c>
      <c r="P16">
        <v>108.1</v>
      </c>
      <c r="Q16">
        <v>110.5</v>
      </c>
      <c r="R16">
        <v>109.2</v>
      </c>
      <c r="S16">
        <v>108.6</v>
      </c>
      <c r="T16">
        <v>108.7</v>
      </c>
      <c r="U16">
        <v>107.4</v>
      </c>
      <c r="V16">
        <v>108.5</v>
      </c>
      <c r="W16" s="1">
        <v>100.5</v>
      </c>
      <c r="X16">
        <v>107.4</v>
      </c>
      <c r="Y16">
        <v>106.9</v>
      </c>
      <c r="Z16">
        <v>105.9</v>
      </c>
      <c r="AA16">
        <v>104</v>
      </c>
      <c r="AB16">
        <v>104.8</v>
      </c>
      <c r="AC16">
        <v>105.6</v>
      </c>
      <c r="AD16">
        <v>102.3</v>
      </c>
      <c r="AE16">
        <v>104.8</v>
      </c>
      <c r="AF16">
        <v>106.9</v>
      </c>
      <c r="AG16" s="2">
        <f>AVERAGE(All_India_Index_Upto_April23[[#This Row],[Food]:[General index]])</f>
        <v>156.97499999999999</v>
      </c>
      <c r="AH16" s="7">
        <f>DATE(All_India_Index_Upto_April23[[#This Row],[Year]],MONTH(1&amp;TRIM(All_India_Index_Upto_April23[[#This Row],[Month]])),1)</f>
        <v>41395</v>
      </c>
    </row>
    <row r="17" spans="1:34" x14ac:dyDescent="0.3">
      <c r="A17">
        <v>16</v>
      </c>
      <c r="B17" s="1" t="s">
        <v>18</v>
      </c>
      <c r="C17">
        <v>2013</v>
      </c>
      <c r="D17" s="1" t="s">
        <v>39</v>
      </c>
      <c r="E17" s="2">
        <v>1529</v>
      </c>
      <c r="F17">
        <v>112.3</v>
      </c>
      <c r="G17">
        <v>112.1</v>
      </c>
      <c r="H17">
        <v>108.1</v>
      </c>
      <c r="I17">
        <v>108.3</v>
      </c>
      <c r="J17">
        <v>105.9</v>
      </c>
      <c r="K17">
        <v>109.2</v>
      </c>
      <c r="L17">
        <v>118</v>
      </c>
      <c r="M17">
        <v>106.8</v>
      </c>
      <c r="N17">
        <v>104.1</v>
      </c>
      <c r="O17">
        <v>105.4</v>
      </c>
      <c r="P17">
        <v>108.2</v>
      </c>
      <c r="Q17">
        <v>111</v>
      </c>
      <c r="R17">
        <v>110.6</v>
      </c>
      <c r="S17">
        <v>109</v>
      </c>
      <c r="T17">
        <v>109.7</v>
      </c>
      <c r="U17">
        <v>108.8</v>
      </c>
      <c r="V17">
        <v>109.5</v>
      </c>
      <c r="W17" s="1">
        <v>139.12</v>
      </c>
      <c r="X17">
        <v>108.5</v>
      </c>
      <c r="Y17">
        <v>107.5</v>
      </c>
      <c r="Z17">
        <v>106.3</v>
      </c>
      <c r="AA17">
        <v>105</v>
      </c>
      <c r="AB17">
        <v>105.6</v>
      </c>
      <c r="AC17">
        <v>106.5</v>
      </c>
      <c r="AD17">
        <v>102.5</v>
      </c>
      <c r="AE17">
        <v>105.5</v>
      </c>
      <c r="AF17">
        <v>108.9</v>
      </c>
      <c r="AG17" s="2">
        <f>AVERAGE(All_India_Index_Upto_April23[[#This Row],[Food]:[General index]])</f>
        <v>160.05071428571426</v>
      </c>
      <c r="AH17" s="7">
        <f>DATE(All_India_Index_Upto_April23[[#This Row],[Year]],MONTH(1&amp;TRIM(All_India_Index_Upto_April23[[#This Row],[Month]])),1)</f>
        <v>41426</v>
      </c>
    </row>
    <row r="18" spans="1:34" x14ac:dyDescent="0.3">
      <c r="A18">
        <v>17</v>
      </c>
      <c r="B18" s="1" t="s">
        <v>33</v>
      </c>
      <c r="C18">
        <v>2013</v>
      </c>
      <c r="D18" s="1" t="s">
        <v>39</v>
      </c>
      <c r="E18" s="2">
        <v>1575.5000000000002</v>
      </c>
      <c r="F18">
        <v>117</v>
      </c>
      <c r="G18">
        <v>120.1</v>
      </c>
      <c r="H18">
        <v>112.5</v>
      </c>
      <c r="I18">
        <v>107.3</v>
      </c>
      <c r="J18">
        <v>101.3</v>
      </c>
      <c r="K18">
        <v>112.4</v>
      </c>
      <c r="L18">
        <v>143.6</v>
      </c>
      <c r="M18">
        <v>105.4</v>
      </c>
      <c r="N18">
        <v>101.4</v>
      </c>
      <c r="O18">
        <v>106.4</v>
      </c>
      <c r="P18">
        <v>110</v>
      </c>
      <c r="Q18">
        <v>112.2</v>
      </c>
      <c r="R18">
        <v>115</v>
      </c>
      <c r="S18">
        <v>110.9</v>
      </c>
      <c r="T18">
        <v>109.2</v>
      </c>
      <c r="U18">
        <v>107.2</v>
      </c>
      <c r="V18">
        <v>108.9</v>
      </c>
      <c r="W18" s="1">
        <v>106.6</v>
      </c>
      <c r="X18">
        <v>108</v>
      </c>
      <c r="Y18">
        <v>107.7</v>
      </c>
      <c r="Z18">
        <v>106.5</v>
      </c>
      <c r="AA18">
        <v>105.2</v>
      </c>
      <c r="AB18">
        <v>105.2</v>
      </c>
      <c r="AC18">
        <v>108.1</v>
      </c>
      <c r="AD18">
        <v>103.3</v>
      </c>
      <c r="AE18">
        <v>106.1</v>
      </c>
      <c r="AF18">
        <v>109.7</v>
      </c>
      <c r="AG18" s="2">
        <f>AVERAGE(All_India_Index_Upto_April23[[#This Row],[Food]:[General index]])</f>
        <v>162.23928571428573</v>
      </c>
      <c r="AH18" s="7">
        <f>DATE(All_India_Index_Upto_April23[[#This Row],[Year]],MONTH(1&amp;TRIM(All_India_Index_Upto_April23[[#This Row],[Month]])),1)</f>
        <v>41426</v>
      </c>
    </row>
    <row r="19" spans="1:34" x14ac:dyDescent="0.3">
      <c r="A19">
        <v>18</v>
      </c>
      <c r="B19" s="1" t="s">
        <v>34</v>
      </c>
      <c r="C19">
        <v>2013</v>
      </c>
      <c r="D19" s="1" t="s">
        <v>39</v>
      </c>
      <c r="E19" s="2">
        <v>1545.5</v>
      </c>
      <c r="F19">
        <v>113.8</v>
      </c>
      <c r="G19">
        <v>114.9</v>
      </c>
      <c r="H19">
        <v>109.8</v>
      </c>
      <c r="I19">
        <v>107.9</v>
      </c>
      <c r="J19">
        <v>104.2</v>
      </c>
      <c r="K19">
        <v>110.7</v>
      </c>
      <c r="L19">
        <v>126.7</v>
      </c>
      <c r="M19">
        <v>106.3</v>
      </c>
      <c r="N19">
        <v>103.2</v>
      </c>
      <c r="O19">
        <v>105.7</v>
      </c>
      <c r="P19">
        <v>109</v>
      </c>
      <c r="Q19">
        <v>111.6</v>
      </c>
      <c r="R19">
        <v>112.2</v>
      </c>
      <c r="S19">
        <v>109.5</v>
      </c>
      <c r="T19">
        <v>109.5</v>
      </c>
      <c r="U19">
        <v>108.1</v>
      </c>
      <c r="V19">
        <v>109.3</v>
      </c>
      <c r="W19" s="1">
        <v>106.6</v>
      </c>
      <c r="X19">
        <v>108.3</v>
      </c>
      <c r="Y19">
        <v>107.6</v>
      </c>
      <c r="Z19">
        <v>106.4</v>
      </c>
      <c r="AA19">
        <v>105.1</v>
      </c>
      <c r="AB19">
        <v>105.4</v>
      </c>
      <c r="AC19">
        <v>107.4</v>
      </c>
      <c r="AD19">
        <v>102.8</v>
      </c>
      <c r="AE19">
        <v>105.8</v>
      </c>
      <c r="AF19">
        <v>109.3</v>
      </c>
      <c r="AG19" s="2">
        <f>AVERAGE(All_India_Index_Upto_April23[[#This Row],[Food]:[General index]])</f>
        <v>160.09285714285713</v>
      </c>
      <c r="AH19" s="7">
        <f>DATE(All_India_Index_Upto_April23[[#This Row],[Year]],MONTH(1&amp;TRIM(All_India_Index_Upto_April23[[#This Row],[Month]])),1)</f>
        <v>41426</v>
      </c>
    </row>
    <row r="20" spans="1:34" x14ac:dyDescent="0.3">
      <c r="A20">
        <v>19</v>
      </c>
      <c r="B20" s="1" t="s">
        <v>18</v>
      </c>
      <c r="C20">
        <v>2013</v>
      </c>
      <c r="D20" s="1" t="s">
        <v>40</v>
      </c>
      <c r="E20" s="2">
        <v>1555.6999999999996</v>
      </c>
      <c r="F20">
        <v>113.4</v>
      </c>
      <c r="G20">
        <v>114.9</v>
      </c>
      <c r="H20">
        <v>110.5</v>
      </c>
      <c r="I20">
        <v>109.3</v>
      </c>
      <c r="J20">
        <v>106.2</v>
      </c>
      <c r="K20">
        <v>110.3</v>
      </c>
      <c r="L20">
        <v>129.19999999999999</v>
      </c>
      <c r="M20">
        <v>107.1</v>
      </c>
      <c r="N20">
        <v>104.3</v>
      </c>
      <c r="O20">
        <v>106.4</v>
      </c>
      <c r="P20">
        <v>109.1</v>
      </c>
      <c r="Q20">
        <v>112.1</v>
      </c>
      <c r="R20">
        <v>113.1</v>
      </c>
      <c r="S20">
        <v>109.8</v>
      </c>
      <c r="T20">
        <v>110.5</v>
      </c>
      <c r="U20">
        <v>109.5</v>
      </c>
      <c r="V20">
        <v>110.3</v>
      </c>
      <c r="W20" s="1">
        <v>139.12</v>
      </c>
      <c r="X20">
        <v>109.5</v>
      </c>
      <c r="Y20">
        <v>108.3</v>
      </c>
      <c r="Z20">
        <v>106.9</v>
      </c>
      <c r="AA20">
        <v>106.8</v>
      </c>
      <c r="AB20">
        <v>106.4</v>
      </c>
      <c r="AC20">
        <v>107.8</v>
      </c>
      <c r="AD20">
        <v>102.5</v>
      </c>
      <c r="AE20">
        <v>106.5</v>
      </c>
      <c r="AF20">
        <v>110.7</v>
      </c>
      <c r="AG20" s="2">
        <f>AVERAGE(All_India_Index_Upto_April23[[#This Row],[Food]:[General index]])</f>
        <v>162.36500000000001</v>
      </c>
      <c r="AH20" s="7">
        <f>DATE(All_India_Index_Upto_April23[[#This Row],[Year]],MONTH(1&amp;TRIM(All_India_Index_Upto_April23[[#This Row],[Month]])),1)</f>
        <v>41456</v>
      </c>
    </row>
    <row r="21" spans="1:34" x14ac:dyDescent="0.3">
      <c r="A21">
        <v>20</v>
      </c>
      <c r="B21" s="1" t="s">
        <v>33</v>
      </c>
      <c r="C21">
        <v>2013</v>
      </c>
      <c r="D21" s="1" t="s">
        <v>40</v>
      </c>
      <c r="E21" s="2">
        <v>1601.1000000000001</v>
      </c>
      <c r="F21">
        <v>117.8</v>
      </c>
      <c r="G21">
        <v>119.2</v>
      </c>
      <c r="H21">
        <v>114</v>
      </c>
      <c r="I21">
        <v>108.3</v>
      </c>
      <c r="J21">
        <v>101.1</v>
      </c>
      <c r="K21">
        <v>113.2</v>
      </c>
      <c r="L21">
        <v>160.9</v>
      </c>
      <c r="M21">
        <v>105.1</v>
      </c>
      <c r="N21">
        <v>101.3</v>
      </c>
      <c r="O21">
        <v>107.5</v>
      </c>
      <c r="P21">
        <v>110.4</v>
      </c>
      <c r="Q21">
        <v>113.1</v>
      </c>
      <c r="R21">
        <v>117.5</v>
      </c>
      <c r="S21">
        <v>111.7</v>
      </c>
      <c r="T21">
        <v>109.8</v>
      </c>
      <c r="U21">
        <v>107.8</v>
      </c>
      <c r="V21">
        <v>109.5</v>
      </c>
      <c r="W21" s="1">
        <v>107.7</v>
      </c>
      <c r="X21">
        <v>108.6</v>
      </c>
      <c r="Y21">
        <v>108.1</v>
      </c>
      <c r="Z21">
        <v>107.1</v>
      </c>
      <c r="AA21">
        <v>107.3</v>
      </c>
      <c r="AB21">
        <v>105.9</v>
      </c>
      <c r="AC21">
        <v>110.1</v>
      </c>
      <c r="AD21">
        <v>103.2</v>
      </c>
      <c r="AE21">
        <v>107.3</v>
      </c>
      <c r="AF21">
        <v>111.4</v>
      </c>
      <c r="AG21" s="2">
        <f>AVERAGE(All_India_Index_Upto_April23[[#This Row],[Food]:[General index]])</f>
        <v>164.5</v>
      </c>
      <c r="AH21" s="7">
        <f>DATE(All_India_Index_Upto_April23[[#This Row],[Year]],MONTH(1&amp;TRIM(All_India_Index_Upto_April23[[#This Row],[Month]])),1)</f>
        <v>41456</v>
      </c>
    </row>
    <row r="22" spans="1:34" x14ac:dyDescent="0.3">
      <c r="A22">
        <v>21</v>
      </c>
      <c r="B22" s="1" t="s">
        <v>34</v>
      </c>
      <c r="C22">
        <v>2013</v>
      </c>
      <c r="D22" s="1" t="s">
        <v>40</v>
      </c>
      <c r="E22" s="2">
        <v>1571.6999999999998</v>
      </c>
      <c r="F22">
        <v>114.8</v>
      </c>
      <c r="G22">
        <v>116.4</v>
      </c>
      <c r="H22">
        <v>111.9</v>
      </c>
      <c r="I22">
        <v>108.9</v>
      </c>
      <c r="J22">
        <v>104.3</v>
      </c>
      <c r="K22">
        <v>111.7</v>
      </c>
      <c r="L22">
        <v>140</v>
      </c>
      <c r="M22">
        <v>106.4</v>
      </c>
      <c r="N22">
        <v>103.3</v>
      </c>
      <c r="O22">
        <v>106.8</v>
      </c>
      <c r="P22">
        <v>109.6</v>
      </c>
      <c r="Q22">
        <v>112.6</v>
      </c>
      <c r="R22">
        <v>114.7</v>
      </c>
      <c r="S22">
        <v>110.3</v>
      </c>
      <c r="T22">
        <v>110.2</v>
      </c>
      <c r="U22">
        <v>108.8</v>
      </c>
      <c r="V22">
        <v>110</v>
      </c>
      <c r="W22" s="1">
        <v>107.7</v>
      </c>
      <c r="X22">
        <v>109.2</v>
      </c>
      <c r="Y22">
        <v>108.2</v>
      </c>
      <c r="Z22">
        <v>107</v>
      </c>
      <c r="AA22">
        <v>107.1</v>
      </c>
      <c r="AB22">
        <v>106.1</v>
      </c>
      <c r="AC22">
        <v>109.1</v>
      </c>
      <c r="AD22">
        <v>102.8</v>
      </c>
      <c r="AE22">
        <v>106.9</v>
      </c>
      <c r="AF22">
        <v>111</v>
      </c>
      <c r="AG22" s="2">
        <f>AVERAGE(All_India_Index_Upto_April23[[#This Row],[Food]:[General index]])</f>
        <v>162.41071428571428</v>
      </c>
      <c r="AH22" s="7">
        <f>DATE(All_India_Index_Upto_April23[[#This Row],[Year]],MONTH(1&amp;TRIM(All_India_Index_Upto_April23[[#This Row],[Month]])),1)</f>
        <v>41456</v>
      </c>
    </row>
    <row r="23" spans="1:34" x14ac:dyDescent="0.3">
      <c r="A23">
        <v>22</v>
      </c>
      <c r="B23" s="1" t="s">
        <v>18</v>
      </c>
      <c r="C23">
        <v>2013</v>
      </c>
      <c r="D23" s="1" t="s">
        <v>41</v>
      </c>
      <c r="E23" s="2">
        <v>1573.2</v>
      </c>
      <c r="F23">
        <v>114.3</v>
      </c>
      <c r="G23">
        <v>115.4</v>
      </c>
      <c r="H23">
        <v>111.1</v>
      </c>
      <c r="I23">
        <v>110</v>
      </c>
      <c r="J23">
        <v>106.4</v>
      </c>
      <c r="K23">
        <v>110.8</v>
      </c>
      <c r="L23">
        <v>138.9</v>
      </c>
      <c r="M23">
        <v>107.4</v>
      </c>
      <c r="N23">
        <v>104.1</v>
      </c>
      <c r="O23">
        <v>106.9</v>
      </c>
      <c r="P23">
        <v>109.7</v>
      </c>
      <c r="Q23">
        <v>112.6</v>
      </c>
      <c r="R23">
        <v>114.9</v>
      </c>
      <c r="S23">
        <v>110.7</v>
      </c>
      <c r="T23">
        <v>111.3</v>
      </c>
      <c r="U23">
        <v>110.2</v>
      </c>
      <c r="V23">
        <v>111.1</v>
      </c>
      <c r="W23" s="1">
        <v>139.12</v>
      </c>
      <c r="X23">
        <v>109.9</v>
      </c>
      <c r="Y23">
        <v>108.7</v>
      </c>
      <c r="Z23">
        <v>107.5</v>
      </c>
      <c r="AA23">
        <v>107.8</v>
      </c>
      <c r="AB23">
        <v>106.8</v>
      </c>
      <c r="AC23">
        <v>108.7</v>
      </c>
      <c r="AD23">
        <v>105</v>
      </c>
      <c r="AE23">
        <v>107.5</v>
      </c>
      <c r="AF23">
        <v>112.1</v>
      </c>
      <c r="AG23" s="2">
        <f>AVERAGE(All_India_Index_Upto_April23[[#This Row],[Food]:[General index]])</f>
        <v>164.00428571428571</v>
      </c>
      <c r="AH23" s="7">
        <f>DATE(All_India_Index_Upto_April23[[#This Row],[Year]],MONTH(1&amp;TRIM(All_India_Index_Upto_April23[[#This Row],[Month]])),1)</f>
        <v>41487</v>
      </c>
    </row>
    <row r="24" spans="1:34" x14ac:dyDescent="0.3">
      <c r="A24">
        <v>23</v>
      </c>
      <c r="B24" s="1" t="s">
        <v>33</v>
      </c>
      <c r="C24">
        <v>2013</v>
      </c>
      <c r="D24" s="1" t="s">
        <v>41</v>
      </c>
      <c r="E24" s="2">
        <v>1618.5000000000002</v>
      </c>
      <c r="F24">
        <v>118.3</v>
      </c>
      <c r="G24">
        <v>120.4</v>
      </c>
      <c r="H24">
        <v>112.7</v>
      </c>
      <c r="I24">
        <v>108.9</v>
      </c>
      <c r="J24">
        <v>101.1</v>
      </c>
      <c r="K24">
        <v>108.7</v>
      </c>
      <c r="L24">
        <v>177</v>
      </c>
      <c r="M24">
        <v>104.7</v>
      </c>
      <c r="N24">
        <v>101</v>
      </c>
      <c r="O24">
        <v>108.5</v>
      </c>
      <c r="P24">
        <v>110.9</v>
      </c>
      <c r="Q24">
        <v>114.3</v>
      </c>
      <c r="R24">
        <v>119.6</v>
      </c>
      <c r="S24">
        <v>112.4</v>
      </c>
      <c r="T24">
        <v>110.6</v>
      </c>
      <c r="U24">
        <v>108.3</v>
      </c>
      <c r="V24">
        <v>110.2</v>
      </c>
      <c r="W24" s="1">
        <v>108.9</v>
      </c>
      <c r="X24">
        <v>109.3</v>
      </c>
      <c r="Y24">
        <v>108.7</v>
      </c>
      <c r="Z24">
        <v>107.6</v>
      </c>
      <c r="AA24">
        <v>108.1</v>
      </c>
      <c r="AB24">
        <v>106.5</v>
      </c>
      <c r="AC24">
        <v>110.8</v>
      </c>
      <c r="AD24">
        <v>106</v>
      </c>
      <c r="AE24">
        <v>108.3</v>
      </c>
      <c r="AF24">
        <v>112.7</v>
      </c>
      <c r="AG24" s="2">
        <f>AVERAGE(All_India_Index_Upto_April23[[#This Row],[Food]:[General index]])</f>
        <v>166.17857142857142</v>
      </c>
      <c r="AH24" s="7">
        <f>DATE(All_India_Index_Upto_April23[[#This Row],[Year]],MONTH(1&amp;TRIM(All_India_Index_Upto_April23[[#This Row],[Month]])),1)</f>
        <v>41487</v>
      </c>
    </row>
    <row r="25" spans="1:34" x14ac:dyDescent="0.3">
      <c r="A25">
        <v>24</v>
      </c>
      <c r="B25" s="1" t="s">
        <v>34</v>
      </c>
      <c r="C25">
        <v>2013</v>
      </c>
      <c r="D25" s="1" t="s">
        <v>41</v>
      </c>
      <c r="E25" s="2">
        <v>1588.6000000000001</v>
      </c>
      <c r="F25">
        <v>115.6</v>
      </c>
      <c r="G25">
        <v>117.2</v>
      </c>
      <c r="H25">
        <v>111.7</v>
      </c>
      <c r="I25">
        <v>109.6</v>
      </c>
      <c r="J25">
        <v>104.5</v>
      </c>
      <c r="K25">
        <v>109.8</v>
      </c>
      <c r="L25">
        <v>151.80000000000001</v>
      </c>
      <c r="M25">
        <v>106.5</v>
      </c>
      <c r="N25">
        <v>103.1</v>
      </c>
      <c r="O25">
        <v>107.4</v>
      </c>
      <c r="P25">
        <v>110.2</v>
      </c>
      <c r="Q25">
        <v>113.4</v>
      </c>
      <c r="R25">
        <v>116.6</v>
      </c>
      <c r="S25">
        <v>111.2</v>
      </c>
      <c r="T25">
        <v>111</v>
      </c>
      <c r="U25">
        <v>109.4</v>
      </c>
      <c r="V25">
        <v>110.7</v>
      </c>
      <c r="W25" s="1">
        <v>108.9</v>
      </c>
      <c r="X25">
        <v>109.7</v>
      </c>
      <c r="Y25">
        <v>108.7</v>
      </c>
      <c r="Z25">
        <v>107.5</v>
      </c>
      <c r="AA25">
        <v>108</v>
      </c>
      <c r="AB25">
        <v>106.6</v>
      </c>
      <c r="AC25">
        <v>109.9</v>
      </c>
      <c r="AD25">
        <v>105.4</v>
      </c>
      <c r="AE25">
        <v>107.9</v>
      </c>
      <c r="AF25">
        <v>112.4</v>
      </c>
      <c r="AG25" s="2">
        <f>AVERAGE(All_India_Index_Upto_April23[[#This Row],[Food]:[General index]])</f>
        <v>164.04642857142852</v>
      </c>
      <c r="AH25" s="7">
        <f>DATE(All_India_Index_Upto_April23[[#This Row],[Year]],MONTH(1&amp;TRIM(All_India_Index_Upto_April23[[#This Row],[Month]])),1)</f>
        <v>41487</v>
      </c>
    </row>
    <row r="26" spans="1:34" x14ac:dyDescent="0.3">
      <c r="A26">
        <v>25</v>
      </c>
      <c r="B26" s="1" t="s">
        <v>18</v>
      </c>
      <c r="C26">
        <v>2013</v>
      </c>
      <c r="D26" s="1" t="s">
        <v>42</v>
      </c>
      <c r="E26" s="2">
        <v>1600.2000000000003</v>
      </c>
      <c r="F26">
        <v>115.4</v>
      </c>
      <c r="G26">
        <v>115.7</v>
      </c>
      <c r="H26">
        <v>111.7</v>
      </c>
      <c r="I26">
        <v>111</v>
      </c>
      <c r="J26">
        <v>107.4</v>
      </c>
      <c r="K26">
        <v>110.9</v>
      </c>
      <c r="L26">
        <v>154</v>
      </c>
      <c r="M26">
        <v>108.1</v>
      </c>
      <c r="N26">
        <v>104.2</v>
      </c>
      <c r="O26">
        <v>107.9</v>
      </c>
      <c r="P26">
        <v>110.4</v>
      </c>
      <c r="Q26">
        <v>114</v>
      </c>
      <c r="R26">
        <v>117.8</v>
      </c>
      <c r="S26">
        <v>111.7</v>
      </c>
      <c r="T26">
        <v>112.7</v>
      </c>
      <c r="U26">
        <v>111.4</v>
      </c>
      <c r="V26">
        <v>112.5</v>
      </c>
      <c r="W26" s="1">
        <v>139.12</v>
      </c>
      <c r="X26">
        <v>111.1</v>
      </c>
      <c r="Y26">
        <v>109.6</v>
      </c>
      <c r="Z26">
        <v>108.3</v>
      </c>
      <c r="AA26">
        <v>109.3</v>
      </c>
      <c r="AB26">
        <v>107.7</v>
      </c>
      <c r="AC26">
        <v>109.8</v>
      </c>
      <c r="AD26">
        <v>106.7</v>
      </c>
      <c r="AE26">
        <v>108.7</v>
      </c>
      <c r="AF26">
        <v>114.2</v>
      </c>
      <c r="AG26" s="2">
        <f>AVERAGE(All_India_Index_Upto_April23[[#This Row],[Food]:[General index]])</f>
        <v>166.48285714285711</v>
      </c>
      <c r="AH26" s="7">
        <f>DATE(All_India_Index_Upto_April23[[#This Row],[Year]],MONTH(1&amp;TRIM(All_India_Index_Upto_April23[[#This Row],[Month]])),1)</f>
        <v>41518</v>
      </c>
    </row>
    <row r="27" spans="1:34" x14ac:dyDescent="0.3">
      <c r="A27">
        <v>26</v>
      </c>
      <c r="B27" s="1" t="s">
        <v>33</v>
      </c>
      <c r="C27">
        <v>2013</v>
      </c>
      <c r="D27" s="1" t="s">
        <v>42</v>
      </c>
      <c r="E27" s="2">
        <v>1613.3000000000002</v>
      </c>
      <c r="F27">
        <v>118.6</v>
      </c>
      <c r="G27">
        <v>119.1</v>
      </c>
      <c r="H27">
        <v>113.2</v>
      </c>
      <c r="I27">
        <v>109.6</v>
      </c>
      <c r="J27">
        <v>101.7</v>
      </c>
      <c r="K27">
        <v>103.2</v>
      </c>
      <c r="L27">
        <v>174.3</v>
      </c>
      <c r="M27">
        <v>105.1</v>
      </c>
      <c r="N27">
        <v>100.8</v>
      </c>
      <c r="O27">
        <v>109.1</v>
      </c>
      <c r="P27">
        <v>111.1</v>
      </c>
      <c r="Q27">
        <v>115.4</v>
      </c>
      <c r="R27">
        <v>119.2</v>
      </c>
      <c r="S27">
        <v>112.9</v>
      </c>
      <c r="T27">
        <v>111.4</v>
      </c>
      <c r="U27">
        <v>109</v>
      </c>
      <c r="V27">
        <v>111.1</v>
      </c>
      <c r="W27" s="1">
        <v>109.7</v>
      </c>
      <c r="X27">
        <v>109.5</v>
      </c>
      <c r="Y27">
        <v>109.6</v>
      </c>
      <c r="Z27">
        <v>107.9</v>
      </c>
      <c r="AA27">
        <v>110.4</v>
      </c>
      <c r="AB27">
        <v>107.4</v>
      </c>
      <c r="AC27">
        <v>111.2</v>
      </c>
      <c r="AD27">
        <v>106.9</v>
      </c>
      <c r="AE27">
        <v>109.4</v>
      </c>
      <c r="AF27">
        <v>113.2</v>
      </c>
      <c r="AG27" s="2">
        <f>AVERAGE(All_India_Index_Upto_April23[[#This Row],[Food]:[General index]])</f>
        <v>166.18928571428566</v>
      </c>
      <c r="AH27" s="7">
        <f>DATE(All_India_Index_Upto_April23[[#This Row],[Year]],MONTH(1&amp;TRIM(All_India_Index_Upto_April23[[#This Row],[Month]])),1)</f>
        <v>41518</v>
      </c>
    </row>
    <row r="28" spans="1:34" x14ac:dyDescent="0.3">
      <c r="A28">
        <v>27</v>
      </c>
      <c r="B28" s="1" t="s">
        <v>34</v>
      </c>
      <c r="C28">
        <v>2013</v>
      </c>
      <c r="D28" s="1" t="s">
        <v>42</v>
      </c>
      <c r="E28" s="2">
        <v>1603.6999999999998</v>
      </c>
      <c r="F28">
        <v>116.4</v>
      </c>
      <c r="G28">
        <v>116.9</v>
      </c>
      <c r="H28">
        <v>112.3</v>
      </c>
      <c r="I28">
        <v>110.5</v>
      </c>
      <c r="J28">
        <v>105.3</v>
      </c>
      <c r="K28">
        <v>107.3</v>
      </c>
      <c r="L28">
        <v>160.9</v>
      </c>
      <c r="M28">
        <v>107.1</v>
      </c>
      <c r="N28">
        <v>103.1</v>
      </c>
      <c r="O28">
        <v>108.3</v>
      </c>
      <c r="P28">
        <v>110.7</v>
      </c>
      <c r="Q28">
        <v>114.6</v>
      </c>
      <c r="R28">
        <v>118.3</v>
      </c>
      <c r="S28">
        <v>112</v>
      </c>
      <c r="T28">
        <v>112.2</v>
      </c>
      <c r="U28">
        <v>110.4</v>
      </c>
      <c r="V28">
        <v>111.9</v>
      </c>
      <c r="W28" s="1">
        <v>109.7</v>
      </c>
      <c r="X28">
        <v>110.5</v>
      </c>
      <c r="Y28">
        <v>109.6</v>
      </c>
      <c r="Z28">
        <v>108.1</v>
      </c>
      <c r="AA28">
        <v>109.9</v>
      </c>
      <c r="AB28">
        <v>107.5</v>
      </c>
      <c r="AC28">
        <v>110.6</v>
      </c>
      <c r="AD28">
        <v>106.8</v>
      </c>
      <c r="AE28">
        <v>109</v>
      </c>
      <c r="AF28">
        <v>113.7</v>
      </c>
      <c r="AG28" s="2">
        <f>AVERAGE(All_India_Index_Upto_April23[[#This Row],[Food]:[General index]])</f>
        <v>165.61785714285719</v>
      </c>
      <c r="AH28" s="7">
        <f>DATE(All_India_Index_Upto_April23[[#This Row],[Year]],MONTH(1&amp;TRIM(All_India_Index_Upto_April23[[#This Row],[Month]])),1)</f>
        <v>41518</v>
      </c>
    </row>
    <row r="29" spans="1:34" x14ac:dyDescent="0.3">
      <c r="A29">
        <v>28</v>
      </c>
      <c r="B29" s="1" t="s">
        <v>18</v>
      </c>
      <c r="C29">
        <v>2013</v>
      </c>
      <c r="D29" s="1" t="s">
        <v>43</v>
      </c>
      <c r="E29" s="2">
        <v>1620.2</v>
      </c>
      <c r="F29">
        <v>116.3</v>
      </c>
      <c r="G29">
        <v>115.4</v>
      </c>
      <c r="H29">
        <v>112.6</v>
      </c>
      <c r="I29">
        <v>111.7</v>
      </c>
      <c r="J29">
        <v>107.7</v>
      </c>
      <c r="K29">
        <v>113.2</v>
      </c>
      <c r="L29">
        <v>164.9</v>
      </c>
      <c r="M29">
        <v>108.3</v>
      </c>
      <c r="N29">
        <v>103.9</v>
      </c>
      <c r="O29">
        <v>108.2</v>
      </c>
      <c r="P29">
        <v>111.1</v>
      </c>
      <c r="Q29">
        <v>114.9</v>
      </c>
      <c r="R29">
        <v>119.8</v>
      </c>
      <c r="S29">
        <v>112.2</v>
      </c>
      <c r="T29">
        <v>113.6</v>
      </c>
      <c r="U29">
        <v>112.3</v>
      </c>
      <c r="V29">
        <v>113.4</v>
      </c>
      <c r="W29" s="1">
        <v>139.12</v>
      </c>
      <c r="X29">
        <v>111.6</v>
      </c>
      <c r="Y29">
        <v>110.4</v>
      </c>
      <c r="Z29">
        <v>108.9</v>
      </c>
      <c r="AA29">
        <v>109.3</v>
      </c>
      <c r="AB29">
        <v>108.3</v>
      </c>
      <c r="AC29">
        <v>110.2</v>
      </c>
      <c r="AD29">
        <v>107.5</v>
      </c>
      <c r="AE29">
        <v>109.1</v>
      </c>
      <c r="AF29">
        <v>115.5</v>
      </c>
      <c r="AG29" s="2">
        <f>AVERAGE(All_India_Index_Upto_April23[[#This Row],[Food]:[General index]])</f>
        <v>168.20071428571427</v>
      </c>
      <c r="AH29" s="7">
        <f>DATE(All_India_Index_Upto_April23[[#This Row],[Year]],MONTH(1&amp;TRIM(All_India_Index_Upto_April23[[#This Row],[Month]])),1)</f>
        <v>41548</v>
      </c>
    </row>
    <row r="30" spans="1:34" x14ac:dyDescent="0.3">
      <c r="A30">
        <v>29</v>
      </c>
      <c r="B30" s="1" t="s">
        <v>33</v>
      </c>
      <c r="C30">
        <v>2013</v>
      </c>
      <c r="D30" s="1" t="s">
        <v>43</v>
      </c>
      <c r="E30" s="2">
        <v>1630.6999999999998</v>
      </c>
      <c r="F30">
        <v>118.9</v>
      </c>
      <c r="G30">
        <v>118.1</v>
      </c>
      <c r="H30">
        <v>114.5</v>
      </c>
      <c r="I30">
        <v>110.4</v>
      </c>
      <c r="J30">
        <v>102.3</v>
      </c>
      <c r="K30">
        <v>106.2</v>
      </c>
      <c r="L30">
        <v>183.5</v>
      </c>
      <c r="M30">
        <v>105.3</v>
      </c>
      <c r="N30">
        <v>100.2</v>
      </c>
      <c r="O30">
        <v>109.6</v>
      </c>
      <c r="P30">
        <v>111.4</v>
      </c>
      <c r="Q30">
        <v>116</v>
      </c>
      <c r="R30">
        <v>120.8</v>
      </c>
      <c r="S30">
        <v>113.5</v>
      </c>
      <c r="T30">
        <v>112.5</v>
      </c>
      <c r="U30">
        <v>109.7</v>
      </c>
      <c r="V30">
        <v>112</v>
      </c>
      <c r="W30" s="1">
        <v>110.5</v>
      </c>
      <c r="X30">
        <v>109.7</v>
      </c>
      <c r="Y30">
        <v>110.2</v>
      </c>
      <c r="Z30">
        <v>108.2</v>
      </c>
      <c r="AA30">
        <v>109.7</v>
      </c>
      <c r="AB30">
        <v>108</v>
      </c>
      <c r="AC30">
        <v>111.3</v>
      </c>
      <c r="AD30">
        <v>107.3</v>
      </c>
      <c r="AE30">
        <v>109.4</v>
      </c>
      <c r="AF30">
        <v>114</v>
      </c>
      <c r="AG30" s="2">
        <f>AVERAGE(All_India_Index_Upto_April23[[#This Row],[Food]:[General index]])</f>
        <v>167.63928571428571</v>
      </c>
      <c r="AH30" s="7">
        <f>DATE(All_India_Index_Upto_April23[[#This Row],[Year]],MONTH(1&amp;TRIM(All_India_Index_Upto_April23[[#This Row],[Month]])),1)</f>
        <v>41548</v>
      </c>
    </row>
    <row r="31" spans="1:34" x14ac:dyDescent="0.3">
      <c r="A31">
        <v>30</v>
      </c>
      <c r="B31" s="1" t="s">
        <v>34</v>
      </c>
      <c r="C31">
        <v>2013</v>
      </c>
      <c r="D31" s="1" t="s">
        <v>43</v>
      </c>
      <c r="E31" s="2">
        <v>1622.7000000000003</v>
      </c>
      <c r="F31">
        <v>117.1</v>
      </c>
      <c r="G31">
        <v>116.3</v>
      </c>
      <c r="H31">
        <v>113.3</v>
      </c>
      <c r="I31">
        <v>111.2</v>
      </c>
      <c r="J31">
        <v>105.7</v>
      </c>
      <c r="K31">
        <v>109.9</v>
      </c>
      <c r="L31">
        <v>171.2</v>
      </c>
      <c r="M31">
        <v>107.3</v>
      </c>
      <c r="N31">
        <v>102.7</v>
      </c>
      <c r="O31">
        <v>108.7</v>
      </c>
      <c r="P31">
        <v>111.2</v>
      </c>
      <c r="Q31">
        <v>115.4</v>
      </c>
      <c r="R31">
        <v>120.2</v>
      </c>
      <c r="S31">
        <v>112.5</v>
      </c>
      <c r="T31">
        <v>113.2</v>
      </c>
      <c r="U31">
        <v>111.2</v>
      </c>
      <c r="V31">
        <v>112.8</v>
      </c>
      <c r="W31" s="1">
        <v>110.5</v>
      </c>
      <c r="X31">
        <v>110.9</v>
      </c>
      <c r="Y31">
        <v>110.3</v>
      </c>
      <c r="Z31">
        <v>108.6</v>
      </c>
      <c r="AA31">
        <v>109.5</v>
      </c>
      <c r="AB31">
        <v>108.1</v>
      </c>
      <c r="AC31">
        <v>110.8</v>
      </c>
      <c r="AD31">
        <v>107.4</v>
      </c>
      <c r="AE31">
        <v>109.2</v>
      </c>
      <c r="AF31">
        <v>114.8</v>
      </c>
      <c r="AG31" s="2">
        <f>AVERAGE(All_India_Index_Upto_April23[[#This Row],[Food]:[General index]])</f>
        <v>167.2392857142857</v>
      </c>
      <c r="AH31" s="7">
        <f>DATE(All_India_Index_Upto_April23[[#This Row],[Year]],MONTH(1&amp;TRIM(All_India_Index_Upto_April23[[#This Row],[Month]])),1)</f>
        <v>41548</v>
      </c>
    </row>
    <row r="32" spans="1:34" x14ac:dyDescent="0.3">
      <c r="A32">
        <v>31</v>
      </c>
      <c r="B32" s="1" t="s">
        <v>18</v>
      </c>
      <c r="C32">
        <v>2013</v>
      </c>
      <c r="D32" s="1" t="s">
        <v>44</v>
      </c>
      <c r="E32" s="2">
        <v>1649.6</v>
      </c>
      <c r="F32">
        <v>117.3</v>
      </c>
      <c r="G32">
        <v>114.9</v>
      </c>
      <c r="H32">
        <v>116.2</v>
      </c>
      <c r="I32">
        <v>112.8</v>
      </c>
      <c r="J32">
        <v>108.9</v>
      </c>
      <c r="K32">
        <v>116.6</v>
      </c>
      <c r="L32">
        <v>178.1</v>
      </c>
      <c r="M32">
        <v>109.1</v>
      </c>
      <c r="N32">
        <v>103.6</v>
      </c>
      <c r="O32">
        <v>109</v>
      </c>
      <c r="P32">
        <v>111.8</v>
      </c>
      <c r="Q32">
        <v>116</v>
      </c>
      <c r="R32">
        <v>122.5</v>
      </c>
      <c r="S32">
        <v>112.8</v>
      </c>
      <c r="T32">
        <v>114.6</v>
      </c>
      <c r="U32">
        <v>113.1</v>
      </c>
      <c r="V32">
        <v>114.4</v>
      </c>
      <c r="W32" s="1">
        <v>139.12</v>
      </c>
      <c r="X32">
        <v>112.6</v>
      </c>
      <c r="Y32">
        <v>111.3</v>
      </c>
      <c r="Z32">
        <v>109.7</v>
      </c>
      <c r="AA32">
        <v>109.6</v>
      </c>
      <c r="AB32">
        <v>108.7</v>
      </c>
      <c r="AC32">
        <v>111</v>
      </c>
      <c r="AD32">
        <v>108.2</v>
      </c>
      <c r="AE32">
        <v>109.8</v>
      </c>
      <c r="AF32">
        <v>117.4</v>
      </c>
      <c r="AG32" s="2">
        <f>AVERAGE(All_India_Index_Upto_April23[[#This Row],[Food]:[General index]])</f>
        <v>170.66857142857143</v>
      </c>
      <c r="AH32" s="7">
        <f>DATE(All_India_Index_Upto_April23[[#This Row],[Year]],MONTH(1&amp;TRIM(All_India_Index_Upto_April23[[#This Row],[Month]])),1)</f>
        <v>41579</v>
      </c>
    </row>
    <row r="33" spans="1:34" x14ac:dyDescent="0.3">
      <c r="A33">
        <v>32</v>
      </c>
      <c r="B33" s="1" t="s">
        <v>33</v>
      </c>
      <c r="C33">
        <v>2013</v>
      </c>
      <c r="D33" s="1" t="s">
        <v>45</v>
      </c>
      <c r="E33" s="2">
        <v>1658.6999999999998</v>
      </c>
      <c r="F33">
        <v>119.8</v>
      </c>
      <c r="G33">
        <v>116.3</v>
      </c>
      <c r="H33">
        <v>122.6</v>
      </c>
      <c r="I33">
        <v>112</v>
      </c>
      <c r="J33">
        <v>103.2</v>
      </c>
      <c r="K33">
        <v>110</v>
      </c>
      <c r="L33">
        <v>192.8</v>
      </c>
      <c r="M33">
        <v>106.3</v>
      </c>
      <c r="N33">
        <v>99.5</v>
      </c>
      <c r="O33">
        <v>110.3</v>
      </c>
      <c r="P33">
        <v>111.8</v>
      </c>
      <c r="Q33">
        <v>117.1</v>
      </c>
      <c r="R33">
        <v>122.9</v>
      </c>
      <c r="S33">
        <v>114.1</v>
      </c>
      <c r="T33">
        <v>113.5</v>
      </c>
      <c r="U33">
        <v>110.3</v>
      </c>
      <c r="V33">
        <v>113</v>
      </c>
      <c r="W33" s="1">
        <v>111.1</v>
      </c>
      <c r="X33">
        <v>110</v>
      </c>
      <c r="Y33">
        <v>110.9</v>
      </c>
      <c r="Z33">
        <v>108.6</v>
      </c>
      <c r="AA33">
        <v>109.5</v>
      </c>
      <c r="AB33">
        <v>108.5</v>
      </c>
      <c r="AC33">
        <v>111.3</v>
      </c>
      <c r="AD33">
        <v>107.9</v>
      </c>
      <c r="AE33">
        <v>109.6</v>
      </c>
      <c r="AF33">
        <v>115</v>
      </c>
      <c r="AG33" s="2">
        <f>AVERAGE(All_India_Index_Upto_April23[[#This Row],[Food]:[General index]])</f>
        <v>169.87857142857143</v>
      </c>
      <c r="AH33" s="7">
        <f>DATE(All_India_Index_Upto_April23[[#This Row],[Year]],MONTH(1&amp;TRIM(All_India_Index_Upto_April23[[#This Row],[Month]])),1)</f>
        <v>41579</v>
      </c>
    </row>
    <row r="34" spans="1:34" x14ac:dyDescent="0.3">
      <c r="A34">
        <v>33</v>
      </c>
      <c r="B34" s="1" t="s">
        <v>34</v>
      </c>
      <c r="C34">
        <v>2013</v>
      </c>
      <c r="D34" s="1" t="s">
        <v>45</v>
      </c>
      <c r="E34" s="2">
        <v>1651.8999999999999</v>
      </c>
      <c r="F34">
        <v>118.1</v>
      </c>
      <c r="G34">
        <v>115.4</v>
      </c>
      <c r="H34">
        <v>118.7</v>
      </c>
      <c r="I34">
        <v>112.5</v>
      </c>
      <c r="J34">
        <v>106.8</v>
      </c>
      <c r="K34">
        <v>113.5</v>
      </c>
      <c r="L34">
        <v>183.1</v>
      </c>
      <c r="M34">
        <v>108.2</v>
      </c>
      <c r="N34">
        <v>102.2</v>
      </c>
      <c r="O34">
        <v>109.4</v>
      </c>
      <c r="P34">
        <v>111.8</v>
      </c>
      <c r="Q34">
        <v>116.5</v>
      </c>
      <c r="R34">
        <v>122.6</v>
      </c>
      <c r="S34">
        <v>113.1</v>
      </c>
      <c r="T34">
        <v>114.2</v>
      </c>
      <c r="U34">
        <v>111.9</v>
      </c>
      <c r="V34">
        <v>113.8</v>
      </c>
      <c r="W34" s="1">
        <v>111.1</v>
      </c>
      <c r="X34">
        <v>111.6</v>
      </c>
      <c r="Y34">
        <v>111.1</v>
      </c>
      <c r="Z34">
        <v>109.3</v>
      </c>
      <c r="AA34">
        <v>109.5</v>
      </c>
      <c r="AB34">
        <v>108.6</v>
      </c>
      <c r="AC34">
        <v>111.2</v>
      </c>
      <c r="AD34">
        <v>108.1</v>
      </c>
      <c r="AE34">
        <v>109.7</v>
      </c>
      <c r="AF34">
        <v>116.3</v>
      </c>
      <c r="AG34" s="2">
        <f>AVERAGE(All_India_Index_Upto_April23[[#This Row],[Food]:[General index]])</f>
        <v>169.65</v>
      </c>
      <c r="AH34" s="7">
        <f>DATE(All_India_Index_Upto_April23[[#This Row],[Year]],MONTH(1&amp;TRIM(All_India_Index_Upto_April23[[#This Row],[Month]])),1)</f>
        <v>41579</v>
      </c>
    </row>
    <row r="35" spans="1:34" x14ac:dyDescent="0.3">
      <c r="A35">
        <v>34</v>
      </c>
      <c r="B35" s="1" t="s">
        <v>18</v>
      </c>
      <c r="C35">
        <v>2013</v>
      </c>
      <c r="D35" s="1" t="s">
        <v>46</v>
      </c>
      <c r="E35" s="2">
        <v>1622.6</v>
      </c>
      <c r="F35">
        <v>118.4</v>
      </c>
      <c r="G35">
        <v>115.9</v>
      </c>
      <c r="H35">
        <v>120.4</v>
      </c>
      <c r="I35">
        <v>113.8</v>
      </c>
      <c r="J35">
        <v>109.5</v>
      </c>
      <c r="K35">
        <v>115.5</v>
      </c>
      <c r="L35">
        <v>145.69999999999999</v>
      </c>
      <c r="M35">
        <v>109.5</v>
      </c>
      <c r="N35">
        <v>102.9</v>
      </c>
      <c r="O35">
        <v>109.8</v>
      </c>
      <c r="P35">
        <v>112.1</v>
      </c>
      <c r="Q35">
        <v>116.8</v>
      </c>
      <c r="R35">
        <v>118.7</v>
      </c>
      <c r="S35">
        <v>113.6</v>
      </c>
      <c r="T35">
        <v>115.8</v>
      </c>
      <c r="U35">
        <v>114</v>
      </c>
      <c r="V35">
        <v>115.5</v>
      </c>
      <c r="W35" s="1">
        <v>139.12</v>
      </c>
      <c r="X35">
        <v>112.8</v>
      </c>
      <c r="Y35">
        <v>112.1</v>
      </c>
      <c r="Z35">
        <v>110.1</v>
      </c>
      <c r="AA35">
        <v>109.9</v>
      </c>
      <c r="AB35">
        <v>109.2</v>
      </c>
      <c r="AC35">
        <v>111.6</v>
      </c>
      <c r="AD35">
        <v>108.1</v>
      </c>
      <c r="AE35">
        <v>110.1</v>
      </c>
      <c r="AF35">
        <v>115.5</v>
      </c>
      <c r="AG35" s="2">
        <f>AVERAGE(All_India_Index_Upto_April23[[#This Row],[Food]:[General index]])</f>
        <v>168.89357142857148</v>
      </c>
      <c r="AH35" s="7">
        <f>DATE(All_India_Index_Upto_April23[[#This Row],[Year]],MONTH(1&amp;TRIM(All_India_Index_Upto_April23[[#This Row],[Month]])),1)</f>
        <v>41609</v>
      </c>
    </row>
    <row r="36" spans="1:34" x14ac:dyDescent="0.3">
      <c r="A36">
        <v>35</v>
      </c>
      <c r="B36" s="1" t="s">
        <v>33</v>
      </c>
      <c r="C36">
        <v>2013</v>
      </c>
      <c r="D36" s="1" t="s">
        <v>46</v>
      </c>
      <c r="E36" s="2">
        <v>1619.4</v>
      </c>
      <c r="F36">
        <v>120.5</v>
      </c>
      <c r="G36">
        <v>118.1</v>
      </c>
      <c r="H36">
        <v>128.5</v>
      </c>
      <c r="I36">
        <v>112.8</v>
      </c>
      <c r="J36">
        <v>103.4</v>
      </c>
      <c r="K36">
        <v>110.7</v>
      </c>
      <c r="L36">
        <v>144.80000000000001</v>
      </c>
      <c r="M36">
        <v>107.1</v>
      </c>
      <c r="N36">
        <v>98.6</v>
      </c>
      <c r="O36">
        <v>111.9</v>
      </c>
      <c r="P36">
        <v>112.1</v>
      </c>
      <c r="Q36">
        <v>118.1</v>
      </c>
      <c r="R36">
        <v>117.8</v>
      </c>
      <c r="S36">
        <v>115</v>
      </c>
      <c r="T36">
        <v>114.2</v>
      </c>
      <c r="U36">
        <v>110.9</v>
      </c>
      <c r="V36">
        <v>113.7</v>
      </c>
      <c r="W36" s="1">
        <v>110.7</v>
      </c>
      <c r="X36">
        <v>110.4</v>
      </c>
      <c r="Y36">
        <v>111.3</v>
      </c>
      <c r="Z36">
        <v>109</v>
      </c>
      <c r="AA36">
        <v>109.7</v>
      </c>
      <c r="AB36">
        <v>108.9</v>
      </c>
      <c r="AC36">
        <v>111.4</v>
      </c>
      <c r="AD36">
        <v>107.7</v>
      </c>
      <c r="AE36">
        <v>109.8</v>
      </c>
      <c r="AF36">
        <v>113.3</v>
      </c>
      <c r="AG36" s="2">
        <f>AVERAGE(All_India_Index_Upto_April23[[#This Row],[Food]:[General index]])</f>
        <v>167.13571428571427</v>
      </c>
      <c r="AH36" s="7">
        <f>DATE(All_India_Index_Upto_April23[[#This Row],[Year]],MONTH(1&amp;TRIM(All_India_Index_Upto_April23[[#This Row],[Month]])),1)</f>
        <v>41609</v>
      </c>
    </row>
    <row r="37" spans="1:34" x14ac:dyDescent="0.3">
      <c r="A37">
        <v>36</v>
      </c>
      <c r="B37" s="1" t="s">
        <v>34</v>
      </c>
      <c r="C37">
        <v>2013</v>
      </c>
      <c r="D37" s="1" t="s">
        <v>46</v>
      </c>
      <c r="E37" s="2">
        <v>1621.3000000000002</v>
      </c>
      <c r="F37">
        <v>119.1</v>
      </c>
      <c r="G37">
        <v>116.7</v>
      </c>
      <c r="H37">
        <v>123.5</v>
      </c>
      <c r="I37">
        <v>113.4</v>
      </c>
      <c r="J37">
        <v>107.3</v>
      </c>
      <c r="K37">
        <v>113.3</v>
      </c>
      <c r="L37">
        <v>145.4</v>
      </c>
      <c r="M37">
        <v>108.7</v>
      </c>
      <c r="N37">
        <v>101.5</v>
      </c>
      <c r="O37">
        <v>110.5</v>
      </c>
      <c r="P37">
        <v>112.1</v>
      </c>
      <c r="Q37">
        <v>117.4</v>
      </c>
      <c r="R37">
        <v>118.4</v>
      </c>
      <c r="S37">
        <v>114</v>
      </c>
      <c r="T37">
        <v>115.2</v>
      </c>
      <c r="U37">
        <v>112.7</v>
      </c>
      <c r="V37">
        <v>114.8</v>
      </c>
      <c r="W37" s="1">
        <v>110.7</v>
      </c>
      <c r="X37">
        <v>111.9</v>
      </c>
      <c r="Y37">
        <v>111.7</v>
      </c>
      <c r="Z37">
        <v>109.7</v>
      </c>
      <c r="AA37">
        <v>109.8</v>
      </c>
      <c r="AB37">
        <v>109</v>
      </c>
      <c r="AC37">
        <v>111.5</v>
      </c>
      <c r="AD37">
        <v>107.9</v>
      </c>
      <c r="AE37">
        <v>110</v>
      </c>
      <c r="AF37">
        <v>114.5</v>
      </c>
      <c r="AG37" s="2">
        <f>AVERAGE(All_India_Index_Upto_April23[[#This Row],[Food]:[General index]])</f>
        <v>167.57142857142853</v>
      </c>
      <c r="AH37" s="7">
        <f>DATE(All_India_Index_Upto_April23[[#This Row],[Year]],MONTH(1&amp;TRIM(All_India_Index_Upto_April23[[#This Row],[Month]])),1)</f>
        <v>41609</v>
      </c>
    </row>
    <row r="38" spans="1:34" x14ac:dyDescent="0.3">
      <c r="A38">
        <v>37</v>
      </c>
      <c r="B38" s="1" t="s">
        <v>18</v>
      </c>
      <c r="C38">
        <v>2014</v>
      </c>
      <c r="D38" s="1" t="s">
        <v>19</v>
      </c>
      <c r="E38" s="2">
        <v>1600.6000000000001</v>
      </c>
      <c r="F38">
        <v>118.9</v>
      </c>
      <c r="G38">
        <v>117.1</v>
      </c>
      <c r="H38">
        <v>120.5</v>
      </c>
      <c r="I38">
        <v>114.4</v>
      </c>
      <c r="J38">
        <v>109</v>
      </c>
      <c r="K38">
        <v>115.5</v>
      </c>
      <c r="L38">
        <v>123.9</v>
      </c>
      <c r="M38">
        <v>109.6</v>
      </c>
      <c r="N38">
        <v>101.8</v>
      </c>
      <c r="O38">
        <v>110.2</v>
      </c>
      <c r="P38">
        <v>112.4</v>
      </c>
      <c r="Q38">
        <v>117.3</v>
      </c>
      <c r="R38">
        <v>116</v>
      </c>
      <c r="S38">
        <v>114</v>
      </c>
      <c r="T38">
        <v>116.5</v>
      </c>
      <c r="U38">
        <v>114.5</v>
      </c>
      <c r="V38">
        <v>116.2</v>
      </c>
      <c r="W38" s="1">
        <v>139.12</v>
      </c>
      <c r="X38">
        <v>113</v>
      </c>
      <c r="Y38">
        <v>112.6</v>
      </c>
      <c r="Z38">
        <v>110.6</v>
      </c>
      <c r="AA38">
        <v>110.5</v>
      </c>
      <c r="AB38">
        <v>109.6</v>
      </c>
      <c r="AC38">
        <v>111.8</v>
      </c>
      <c r="AD38">
        <v>108.3</v>
      </c>
      <c r="AE38">
        <v>110.6</v>
      </c>
      <c r="AF38">
        <v>114.2</v>
      </c>
      <c r="AG38" s="2">
        <f>AVERAGE(All_India_Index_Upto_April23[[#This Row],[Food]:[General index]])</f>
        <v>167.45428571428573</v>
      </c>
      <c r="AH38" s="7">
        <f>DATE(All_India_Index_Upto_April23[[#This Row],[Year]],MONTH(1&amp;TRIM(All_India_Index_Upto_April23[[#This Row],[Month]])),1)</f>
        <v>41640</v>
      </c>
    </row>
    <row r="39" spans="1:34" x14ac:dyDescent="0.3">
      <c r="A39">
        <v>38</v>
      </c>
      <c r="B39" s="1" t="s">
        <v>33</v>
      </c>
      <c r="C39">
        <v>2014</v>
      </c>
      <c r="D39" s="1" t="s">
        <v>19</v>
      </c>
      <c r="E39" s="2">
        <v>1600</v>
      </c>
      <c r="F39">
        <v>121.2</v>
      </c>
      <c r="G39">
        <v>122</v>
      </c>
      <c r="H39">
        <v>129.9</v>
      </c>
      <c r="I39">
        <v>113.6</v>
      </c>
      <c r="J39">
        <v>102.9</v>
      </c>
      <c r="K39">
        <v>112.1</v>
      </c>
      <c r="L39">
        <v>118.9</v>
      </c>
      <c r="M39">
        <v>107.5</v>
      </c>
      <c r="N39">
        <v>96.9</v>
      </c>
      <c r="O39">
        <v>112.7</v>
      </c>
      <c r="P39">
        <v>112.1</v>
      </c>
      <c r="Q39">
        <v>119</v>
      </c>
      <c r="R39">
        <v>115.5</v>
      </c>
      <c r="S39">
        <v>115.7</v>
      </c>
      <c r="T39">
        <v>114.8</v>
      </c>
      <c r="U39">
        <v>111.3</v>
      </c>
      <c r="V39">
        <v>114.3</v>
      </c>
      <c r="W39" s="1">
        <v>111.6</v>
      </c>
      <c r="X39">
        <v>111</v>
      </c>
      <c r="Y39">
        <v>111.9</v>
      </c>
      <c r="Z39">
        <v>109.7</v>
      </c>
      <c r="AA39">
        <v>110.8</v>
      </c>
      <c r="AB39">
        <v>109.8</v>
      </c>
      <c r="AC39">
        <v>111.5</v>
      </c>
      <c r="AD39">
        <v>108</v>
      </c>
      <c r="AE39">
        <v>110.5</v>
      </c>
      <c r="AF39">
        <v>112.9</v>
      </c>
      <c r="AG39" s="2">
        <f>AVERAGE(All_India_Index_Upto_April23[[#This Row],[Food]:[General index]])</f>
        <v>166.00357142857143</v>
      </c>
      <c r="AH39" s="7">
        <f>DATE(All_India_Index_Upto_April23[[#This Row],[Year]],MONTH(1&amp;TRIM(All_India_Index_Upto_April23[[#This Row],[Month]])),1)</f>
        <v>41640</v>
      </c>
    </row>
    <row r="40" spans="1:34" x14ac:dyDescent="0.3">
      <c r="A40">
        <v>39</v>
      </c>
      <c r="B40" s="1" t="s">
        <v>34</v>
      </c>
      <c r="C40">
        <v>2014</v>
      </c>
      <c r="D40" s="1" t="s">
        <v>19</v>
      </c>
      <c r="E40" s="2">
        <v>1600.2999999999997</v>
      </c>
      <c r="F40">
        <v>119.6</v>
      </c>
      <c r="G40">
        <v>118.8</v>
      </c>
      <c r="H40">
        <v>124.1</v>
      </c>
      <c r="I40">
        <v>114.1</v>
      </c>
      <c r="J40">
        <v>106.8</v>
      </c>
      <c r="K40">
        <v>113.9</v>
      </c>
      <c r="L40">
        <v>122.2</v>
      </c>
      <c r="M40">
        <v>108.9</v>
      </c>
      <c r="N40">
        <v>100.2</v>
      </c>
      <c r="O40">
        <v>111</v>
      </c>
      <c r="P40">
        <v>112.3</v>
      </c>
      <c r="Q40">
        <v>118.1</v>
      </c>
      <c r="R40">
        <v>115.8</v>
      </c>
      <c r="S40">
        <v>114.5</v>
      </c>
      <c r="T40">
        <v>115.8</v>
      </c>
      <c r="U40">
        <v>113.2</v>
      </c>
      <c r="V40">
        <v>115.4</v>
      </c>
      <c r="W40" s="1">
        <v>111.6</v>
      </c>
      <c r="X40">
        <v>112.2</v>
      </c>
      <c r="Y40">
        <v>112.3</v>
      </c>
      <c r="Z40">
        <v>110.3</v>
      </c>
      <c r="AA40">
        <v>110.7</v>
      </c>
      <c r="AB40">
        <v>109.7</v>
      </c>
      <c r="AC40">
        <v>111.6</v>
      </c>
      <c r="AD40">
        <v>108.2</v>
      </c>
      <c r="AE40">
        <v>110.6</v>
      </c>
      <c r="AF40">
        <v>113.6</v>
      </c>
      <c r="AG40" s="2">
        <f>AVERAGE(All_India_Index_Upto_April23[[#This Row],[Food]:[General index]])</f>
        <v>166.27857142857147</v>
      </c>
      <c r="AH40" s="7">
        <f>DATE(All_India_Index_Upto_April23[[#This Row],[Year]],MONTH(1&amp;TRIM(All_India_Index_Upto_April23[[#This Row],[Month]])),1)</f>
        <v>41640</v>
      </c>
    </row>
    <row r="41" spans="1:34" x14ac:dyDescent="0.3">
      <c r="A41">
        <v>40</v>
      </c>
      <c r="B41" s="1" t="s">
        <v>18</v>
      </c>
      <c r="C41">
        <v>2014</v>
      </c>
      <c r="D41" s="1" t="s">
        <v>35</v>
      </c>
      <c r="E41" s="2">
        <v>1596.4</v>
      </c>
      <c r="F41">
        <v>119.4</v>
      </c>
      <c r="G41">
        <v>117.7</v>
      </c>
      <c r="H41">
        <v>121.2</v>
      </c>
      <c r="I41">
        <v>115</v>
      </c>
      <c r="J41">
        <v>109</v>
      </c>
      <c r="K41">
        <v>116.6</v>
      </c>
      <c r="L41">
        <v>116</v>
      </c>
      <c r="M41">
        <v>109.8</v>
      </c>
      <c r="N41">
        <v>101.1</v>
      </c>
      <c r="O41">
        <v>110.4</v>
      </c>
      <c r="P41">
        <v>112.9</v>
      </c>
      <c r="Q41">
        <v>117.8</v>
      </c>
      <c r="R41">
        <v>115.3</v>
      </c>
      <c r="S41">
        <v>114.2</v>
      </c>
      <c r="T41">
        <v>117.1</v>
      </c>
      <c r="U41">
        <v>114.5</v>
      </c>
      <c r="V41">
        <v>116.7</v>
      </c>
      <c r="W41" s="1">
        <v>139.12</v>
      </c>
      <c r="X41">
        <v>113.2</v>
      </c>
      <c r="Y41">
        <v>112.9</v>
      </c>
      <c r="Z41">
        <v>110.9</v>
      </c>
      <c r="AA41">
        <v>110.8</v>
      </c>
      <c r="AB41">
        <v>109.9</v>
      </c>
      <c r="AC41">
        <v>112</v>
      </c>
      <c r="AD41">
        <v>108.7</v>
      </c>
      <c r="AE41">
        <v>110.9</v>
      </c>
      <c r="AF41">
        <v>114</v>
      </c>
      <c r="AG41" s="2">
        <f>AVERAGE(All_India_Index_Upto_April23[[#This Row],[Food]:[General index]])</f>
        <v>167.26857142857142</v>
      </c>
      <c r="AH41" s="7">
        <f>DATE(All_India_Index_Upto_April23[[#This Row],[Year]],MONTH(1&amp;TRIM(All_India_Index_Upto_April23[[#This Row],[Month]])),1)</f>
        <v>41671</v>
      </c>
    </row>
    <row r="42" spans="1:34" x14ac:dyDescent="0.3">
      <c r="A42">
        <v>41</v>
      </c>
      <c r="B42" s="1" t="s">
        <v>33</v>
      </c>
      <c r="C42">
        <v>2014</v>
      </c>
      <c r="D42" s="1" t="s">
        <v>35</v>
      </c>
      <c r="E42" s="2">
        <v>1592.2</v>
      </c>
      <c r="F42">
        <v>121.9</v>
      </c>
      <c r="G42">
        <v>122</v>
      </c>
      <c r="H42">
        <v>124.5</v>
      </c>
      <c r="I42">
        <v>115.2</v>
      </c>
      <c r="J42">
        <v>102.5</v>
      </c>
      <c r="K42">
        <v>114.1</v>
      </c>
      <c r="L42">
        <v>111.5</v>
      </c>
      <c r="M42">
        <v>108.2</v>
      </c>
      <c r="N42">
        <v>95.4</v>
      </c>
      <c r="O42">
        <v>113.5</v>
      </c>
      <c r="P42">
        <v>112.1</v>
      </c>
      <c r="Q42">
        <v>119.9</v>
      </c>
      <c r="R42">
        <v>115.2</v>
      </c>
      <c r="S42">
        <v>116.2</v>
      </c>
      <c r="T42">
        <v>115.3</v>
      </c>
      <c r="U42">
        <v>111.7</v>
      </c>
      <c r="V42">
        <v>114.7</v>
      </c>
      <c r="W42" s="1">
        <v>112.5</v>
      </c>
      <c r="X42">
        <v>111.1</v>
      </c>
      <c r="Y42">
        <v>112.6</v>
      </c>
      <c r="Z42">
        <v>110.4</v>
      </c>
      <c r="AA42">
        <v>111.3</v>
      </c>
      <c r="AB42">
        <v>110.3</v>
      </c>
      <c r="AC42">
        <v>111.6</v>
      </c>
      <c r="AD42">
        <v>108.7</v>
      </c>
      <c r="AE42">
        <v>111</v>
      </c>
      <c r="AF42">
        <v>113.1</v>
      </c>
      <c r="AG42" s="2">
        <f>AVERAGE(All_India_Index_Upto_April23[[#This Row],[Food]:[General index]])</f>
        <v>165.66785714285714</v>
      </c>
      <c r="AH42" s="7">
        <f>DATE(All_India_Index_Upto_April23[[#This Row],[Year]],MONTH(1&amp;TRIM(All_India_Index_Upto_April23[[#This Row],[Month]])),1)</f>
        <v>41671</v>
      </c>
    </row>
    <row r="43" spans="1:34" x14ac:dyDescent="0.3">
      <c r="A43">
        <v>42</v>
      </c>
      <c r="B43" s="1" t="s">
        <v>34</v>
      </c>
      <c r="C43">
        <v>2014</v>
      </c>
      <c r="D43" s="1" t="s">
        <v>35</v>
      </c>
      <c r="E43" s="2">
        <v>1594.8</v>
      </c>
      <c r="F43">
        <v>120.2</v>
      </c>
      <c r="G43">
        <v>119.2</v>
      </c>
      <c r="H43">
        <v>122.5</v>
      </c>
      <c r="I43">
        <v>115.1</v>
      </c>
      <c r="J43">
        <v>106.6</v>
      </c>
      <c r="K43">
        <v>115.4</v>
      </c>
      <c r="L43">
        <v>114.5</v>
      </c>
      <c r="M43">
        <v>109.3</v>
      </c>
      <c r="N43">
        <v>99.2</v>
      </c>
      <c r="O43">
        <v>111.4</v>
      </c>
      <c r="P43">
        <v>112.6</v>
      </c>
      <c r="Q43">
        <v>118.8</v>
      </c>
      <c r="R43">
        <v>115.3</v>
      </c>
      <c r="S43">
        <v>114.7</v>
      </c>
      <c r="T43">
        <v>116.4</v>
      </c>
      <c r="U43">
        <v>113.3</v>
      </c>
      <c r="V43">
        <v>115.9</v>
      </c>
      <c r="W43" s="1">
        <v>112.5</v>
      </c>
      <c r="X43">
        <v>112.4</v>
      </c>
      <c r="Y43">
        <v>112.8</v>
      </c>
      <c r="Z43">
        <v>110.7</v>
      </c>
      <c r="AA43">
        <v>111.1</v>
      </c>
      <c r="AB43">
        <v>110.1</v>
      </c>
      <c r="AC43">
        <v>111.8</v>
      </c>
      <c r="AD43">
        <v>108.7</v>
      </c>
      <c r="AE43">
        <v>110.9</v>
      </c>
      <c r="AF43">
        <v>113.6</v>
      </c>
      <c r="AG43" s="2">
        <f>AVERAGE(All_India_Index_Upto_April23[[#This Row],[Food]:[General index]])</f>
        <v>166.06428571428575</v>
      </c>
      <c r="AH43" s="7">
        <f>DATE(All_India_Index_Upto_April23[[#This Row],[Year]],MONTH(1&amp;TRIM(All_India_Index_Upto_April23[[#This Row],[Month]])),1)</f>
        <v>41671</v>
      </c>
    </row>
    <row r="44" spans="1:34" x14ac:dyDescent="0.3">
      <c r="A44">
        <v>43</v>
      </c>
      <c r="B44" s="1" t="s">
        <v>18</v>
      </c>
      <c r="C44">
        <v>2014</v>
      </c>
      <c r="D44" s="1" t="s">
        <v>36</v>
      </c>
      <c r="E44" s="2">
        <v>1606</v>
      </c>
      <c r="F44">
        <v>120.1</v>
      </c>
      <c r="G44">
        <v>118.1</v>
      </c>
      <c r="H44">
        <v>120.7</v>
      </c>
      <c r="I44">
        <v>116.1</v>
      </c>
      <c r="J44">
        <v>109.3</v>
      </c>
      <c r="K44">
        <v>119.6</v>
      </c>
      <c r="L44">
        <v>117.9</v>
      </c>
      <c r="M44">
        <v>110.2</v>
      </c>
      <c r="N44">
        <v>101.2</v>
      </c>
      <c r="O44">
        <v>110.7</v>
      </c>
      <c r="P44">
        <v>113</v>
      </c>
      <c r="Q44">
        <v>118.3</v>
      </c>
      <c r="R44">
        <v>116.2</v>
      </c>
      <c r="S44">
        <v>114.6</v>
      </c>
      <c r="T44">
        <v>117.5</v>
      </c>
      <c r="U44">
        <v>114.9</v>
      </c>
      <c r="V44">
        <v>117.2</v>
      </c>
      <c r="W44" s="1">
        <v>139.12</v>
      </c>
      <c r="X44">
        <v>113.4</v>
      </c>
      <c r="Y44">
        <v>113.4</v>
      </c>
      <c r="Z44">
        <v>111.4</v>
      </c>
      <c r="AA44">
        <v>111.2</v>
      </c>
      <c r="AB44">
        <v>110.2</v>
      </c>
      <c r="AC44">
        <v>112.4</v>
      </c>
      <c r="AD44">
        <v>108.9</v>
      </c>
      <c r="AE44">
        <v>111.3</v>
      </c>
      <c r="AF44">
        <v>114.6</v>
      </c>
      <c r="AG44" s="2">
        <f>AVERAGE(All_India_Index_Upto_April23[[#This Row],[Food]:[General index]])</f>
        <v>168.12571428571428</v>
      </c>
      <c r="AH44" s="7">
        <f>DATE(All_India_Index_Upto_April23[[#This Row],[Year]],MONTH(1&amp;TRIM(All_India_Index_Upto_April23[[#This Row],[Month]])),1)</f>
        <v>41699</v>
      </c>
    </row>
    <row r="45" spans="1:34" x14ac:dyDescent="0.3">
      <c r="A45">
        <v>44</v>
      </c>
      <c r="B45" s="1" t="s">
        <v>33</v>
      </c>
      <c r="C45">
        <v>2014</v>
      </c>
      <c r="D45" s="1" t="s">
        <v>36</v>
      </c>
      <c r="E45" s="2">
        <v>1599.7</v>
      </c>
      <c r="F45">
        <v>122.1</v>
      </c>
      <c r="G45">
        <v>121.4</v>
      </c>
      <c r="H45">
        <v>121.5</v>
      </c>
      <c r="I45">
        <v>116.2</v>
      </c>
      <c r="J45">
        <v>102.8</v>
      </c>
      <c r="K45">
        <v>117.7</v>
      </c>
      <c r="L45">
        <v>113.3</v>
      </c>
      <c r="M45">
        <v>108.9</v>
      </c>
      <c r="N45">
        <v>96.3</v>
      </c>
      <c r="O45">
        <v>114.1</v>
      </c>
      <c r="P45">
        <v>112.2</v>
      </c>
      <c r="Q45">
        <v>120.5</v>
      </c>
      <c r="R45">
        <v>116</v>
      </c>
      <c r="S45">
        <v>116.7</v>
      </c>
      <c r="T45">
        <v>115.8</v>
      </c>
      <c r="U45">
        <v>112.1</v>
      </c>
      <c r="V45">
        <v>115.2</v>
      </c>
      <c r="W45" s="1">
        <v>113.2</v>
      </c>
      <c r="X45">
        <v>110.9</v>
      </c>
      <c r="Y45">
        <v>113</v>
      </c>
      <c r="Z45">
        <v>110.8</v>
      </c>
      <c r="AA45">
        <v>111.6</v>
      </c>
      <c r="AB45">
        <v>110.9</v>
      </c>
      <c r="AC45">
        <v>111.8</v>
      </c>
      <c r="AD45">
        <v>109.2</v>
      </c>
      <c r="AE45">
        <v>111.4</v>
      </c>
      <c r="AF45">
        <v>113.7</v>
      </c>
      <c r="AG45" s="2">
        <f>AVERAGE(All_India_Index_Upto_April23[[#This Row],[Food]:[General index]])</f>
        <v>166.39285714285711</v>
      </c>
      <c r="AH45" s="7">
        <f>DATE(All_India_Index_Upto_April23[[#This Row],[Year]],MONTH(1&amp;TRIM(All_India_Index_Upto_April23[[#This Row],[Month]])),1)</f>
        <v>41699</v>
      </c>
    </row>
    <row r="46" spans="1:34" x14ac:dyDescent="0.3">
      <c r="A46">
        <v>45</v>
      </c>
      <c r="B46" s="1" t="s">
        <v>34</v>
      </c>
      <c r="C46">
        <v>2014</v>
      </c>
      <c r="D46" s="1" t="s">
        <v>47</v>
      </c>
      <c r="E46" s="2">
        <v>1603.4999999999998</v>
      </c>
      <c r="F46">
        <v>120.7</v>
      </c>
      <c r="G46">
        <v>119.3</v>
      </c>
      <c r="H46">
        <v>121</v>
      </c>
      <c r="I46">
        <v>116.1</v>
      </c>
      <c r="J46">
        <v>106.9</v>
      </c>
      <c r="K46">
        <v>118.7</v>
      </c>
      <c r="L46">
        <v>116.3</v>
      </c>
      <c r="M46">
        <v>109.8</v>
      </c>
      <c r="N46">
        <v>99.6</v>
      </c>
      <c r="O46">
        <v>111.8</v>
      </c>
      <c r="P46">
        <v>112.7</v>
      </c>
      <c r="Q46">
        <v>119.3</v>
      </c>
      <c r="R46">
        <v>116.1</v>
      </c>
      <c r="S46">
        <v>115.2</v>
      </c>
      <c r="T46">
        <v>116.8</v>
      </c>
      <c r="U46">
        <v>113.7</v>
      </c>
      <c r="V46">
        <v>116.4</v>
      </c>
      <c r="W46" s="1">
        <v>113.2</v>
      </c>
      <c r="X46">
        <v>112.5</v>
      </c>
      <c r="Y46">
        <v>113.2</v>
      </c>
      <c r="Z46">
        <v>111.2</v>
      </c>
      <c r="AA46">
        <v>111.4</v>
      </c>
      <c r="AB46">
        <v>110.6</v>
      </c>
      <c r="AC46">
        <v>112</v>
      </c>
      <c r="AD46">
        <v>109</v>
      </c>
      <c r="AE46">
        <v>111.3</v>
      </c>
      <c r="AF46">
        <v>114.2</v>
      </c>
      <c r="AG46" s="2">
        <f>AVERAGE(All_India_Index_Upto_April23[[#This Row],[Food]:[General index]])</f>
        <v>166.875</v>
      </c>
      <c r="AH46" s="7" t="e">
        <f>DATE(All_India_Index_Upto_April23[[#This Row],[Year]],MONTH(1&amp;TRIM(All_India_Index_Upto_April23[[#This Row],[Month]])),1)</f>
        <v>#VALUE!</v>
      </c>
    </row>
    <row r="47" spans="1:34" x14ac:dyDescent="0.3">
      <c r="A47">
        <v>46</v>
      </c>
      <c r="B47" s="1" t="s">
        <v>18</v>
      </c>
      <c r="C47">
        <v>2014</v>
      </c>
      <c r="D47" s="1" t="s">
        <v>37</v>
      </c>
      <c r="E47" s="2">
        <v>1619.5000000000002</v>
      </c>
      <c r="F47">
        <v>120.2</v>
      </c>
      <c r="G47">
        <v>118.9</v>
      </c>
      <c r="H47">
        <v>118.1</v>
      </c>
      <c r="I47">
        <v>117</v>
      </c>
      <c r="J47">
        <v>109.7</v>
      </c>
      <c r="K47">
        <v>125.5</v>
      </c>
      <c r="L47">
        <v>120.5</v>
      </c>
      <c r="M47">
        <v>111</v>
      </c>
      <c r="N47">
        <v>102.6</v>
      </c>
      <c r="O47">
        <v>111.2</v>
      </c>
      <c r="P47">
        <v>113.5</v>
      </c>
      <c r="Q47">
        <v>118.7</v>
      </c>
      <c r="R47">
        <v>117.2</v>
      </c>
      <c r="S47">
        <v>115.4</v>
      </c>
      <c r="T47">
        <v>118.1</v>
      </c>
      <c r="U47">
        <v>116.1</v>
      </c>
      <c r="V47">
        <v>117.8</v>
      </c>
      <c r="W47" s="1">
        <v>139.12</v>
      </c>
      <c r="X47">
        <v>113.4</v>
      </c>
      <c r="Y47">
        <v>113.7</v>
      </c>
      <c r="Z47">
        <v>111.8</v>
      </c>
      <c r="AA47">
        <v>111.2</v>
      </c>
      <c r="AB47">
        <v>110.5</v>
      </c>
      <c r="AC47">
        <v>113</v>
      </c>
      <c r="AD47">
        <v>108.9</v>
      </c>
      <c r="AE47">
        <v>111.5</v>
      </c>
      <c r="AF47">
        <v>115.4</v>
      </c>
      <c r="AG47" s="2">
        <f>AVERAGE(All_India_Index_Upto_April23[[#This Row],[Food]:[General index]])</f>
        <v>169.26857142857139</v>
      </c>
      <c r="AH47" s="7">
        <f>DATE(All_India_Index_Upto_April23[[#This Row],[Year]],MONTH(1&amp;TRIM(All_India_Index_Upto_April23[[#This Row],[Month]])),1)</f>
        <v>41730</v>
      </c>
    </row>
    <row r="48" spans="1:34" x14ac:dyDescent="0.3">
      <c r="A48">
        <v>47</v>
      </c>
      <c r="B48" s="1" t="s">
        <v>33</v>
      </c>
      <c r="C48">
        <v>2014</v>
      </c>
      <c r="D48" s="1" t="s">
        <v>37</v>
      </c>
      <c r="E48" s="2">
        <v>1621.6000000000001</v>
      </c>
      <c r="F48">
        <v>122.5</v>
      </c>
      <c r="G48">
        <v>121.7</v>
      </c>
      <c r="H48">
        <v>113.3</v>
      </c>
      <c r="I48">
        <v>117</v>
      </c>
      <c r="J48">
        <v>103.1</v>
      </c>
      <c r="K48">
        <v>126.7</v>
      </c>
      <c r="L48">
        <v>121.2</v>
      </c>
      <c r="M48">
        <v>111</v>
      </c>
      <c r="N48">
        <v>100.3</v>
      </c>
      <c r="O48">
        <v>115.3</v>
      </c>
      <c r="P48">
        <v>112.7</v>
      </c>
      <c r="Q48">
        <v>121</v>
      </c>
      <c r="R48">
        <v>118.2</v>
      </c>
      <c r="S48">
        <v>117.6</v>
      </c>
      <c r="T48">
        <v>116.3</v>
      </c>
      <c r="U48">
        <v>112.5</v>
      </c>
      <c r="V48">
        <v>115.7</v>
      </c>
      <c r="W48" s="1">
        <v>113.9</v>
      </c>
      <c r="X48">
        <v>110.9</v>
      </c>
      <c r="Y48">
        <v>113.4</v>
      </c>
      <c r="Z48">
        <v>111</v>
      </c>
      <c r="AA48">
        <v>111.2</v>
      </c>
      <c r="AB48">
        <v>111.2</v>
      </c>
      <c r="AC48">
        <v>112.5</v>
      </c>
      <c r="AD48">
        <v>109.1</v>
      </c>
      <c r="AE48">
        <v>111.4</v>
      </c>
      <c r="AF48">
        <v>114.7</v>
      </c>
      <c r="AG48" s="2">
        <f>AVERAGE(All_India_Index_Upto_April23[[#This Row],[Food]:[General index]])</f>
        <v>168.10714285714286</v>
      </c>
      <c r="AH48" s="7">
        <f>DATE(All_India_Index_Upto_April23[[#This Row],[Year]],MONTH(1&amp;TRIM(All_India_Index_Upto_April23[[#This Row],[Month]])),1)</f>
        <v>41730</v>
      </c>
    </row>
    <row r="49" spans="1:34" x14ac:dyDescent="0.3">
      <c r="A49">
        <v>48</v>
      </c>
      <c r="B49" s="1" t="s">
        <v>34</v>
      </c>
      <c r="C49">
        <v>2014</v>
      </c>
      <c r="D49" s="1" t="s">
        <v>37</v>
      </c>
      <c r="E49" s="2">
        <v>1620.1</v>
      </c>
      <c r="F49">
        <v>120.9</v>
      </c>
      <c r="G49">
        <v>119.9</v>
      </c>
      <c r="H49">
        <v>116.2</v>
      </c>
      <c r="I49">
        <v>117</v>
      </c>
      <c r="J49">
        <v>107.3</v>
      </c>
      <c r="K49">
        <v>126.1</v>
      </c>
      <c r="L49">
        <v>120.7</v>
      </c>
      <c r="M49">
        <v>111</v>
      </c>
      <c r="N49">
        <v>101.8</v>
      </c>
      <c r="O49">
        <v>112.6</v>
      </c>
      <c r="P49">
        <v>113.2</v>
      </c>
      <c r="Q49">
        <v>119.8</v>
      </c>
      <c r="R49">
        <v>117.6</v>
      </c>
      <c r="S49">
        <v>116</v>
      </c>
      <c r="T49">
        <v>117.4</v>
      </c>
      <c r="U49">
        <v>114.6</v>
      </c>
      <c r="V49">
        <v>117</v>
      </c>
      <c r="W49" s="1">
        <v>113.9</v>
      </c>
      <c r="X49">
        <v>112.5</v>
      </c>
      <c r="Y49">
        <v>113.6</v>
      </c>
      <c r="Z49">
        <v>111.5</v>
      </c>
      <c r="AA49">
        <v>111.2</v>
      </c>
      <c r="AB49">
        <v>110.9</v>
      </c>
      <c r="AC49">
        <v>112.7</v>
      </c>
      <c r="AD49">
        <v>109</v>
      </c>
      <c r="AE49">
        <v>111.5</v>
      </c>
      <c r="AF49">
        <v>115.1</v>
      </c>
      <c r="AG49" s="2">
        <f>AVERAGE(All_India_Index_Upto_April23[[#This Row],[Food]:[General index]])</f>
        <v>168.25357142857143</v>
      </c>
      <c r="AH49" s="7">
        <f>DATE(All_India_Index_Upto_April23[[#This Row],[Year]],MONTH(1&amp;TRIM(All_India_Index_Upto_April23[[#This Row],[Month]])),1)</f>
        <v>41730</v>
      </c>
    </row>
    <row r="50" spans="1:34" x14ac:dyDescent="0.3">
      <c r="A50">
        <v>49</v>
      </c>
      <c r="B50" s="1" t="s">
        <v>18</v>
      </c>
      <c r="C50">
        <v>2014</v>
      </c>
      <c r="D50" s="1" t="s">
        <v>38</v>
      </c>
      <c r="E50" s="2">
        <v>1630.1999999999998</v>
      </c>
      <c r="F50">
        <v>120.3</v>
      </c>
      <c r="G50">
        <v>120.2</v>
      </c>
      <c r="H50">
        <v>116.9</v>
      </c>
      <c r="I50">
        <v>118</v>
      </c>
      <c r="J50">
        <v>110.1</v>
      </c>
      <c r="K50">
        <v>126.3</v>
      </c>
      <c r="L50">
        <v>123.9</v>
      </c>
      <c r="M50">
        <v>111.5</v>
      </c>
      <c r="N50">
        <v>103.5</v>
      </c>
      <c r="O50">
        <v>111.6</v>
      </c>
      <c r="P50">
        <v>114.2</v>
      </c>
      <c r="Q50">
        <v>119.2</v>
      </c>
      <c r="R50">
        <v>118.2</v>
      </c>
      <c r="S50">
        <v>116.3</v>
      </c>
      <c r="T50">
        <v>118.7</v>
      </c>
      <c r="U50">
        <v>116.8</v>
      </c>
      <c r="V50">
        <v>118.5</v>
      </c>
      <c r="W50" s="1">
        <v>139.12</v>
      </c>
      <c r="X50">
        <v>113.4</v>
      </c>
      <c r="Y50">
        <v>114.1</v>
      </c>
      <c r="Z50">
        <v>112.1</v>
      </c>
      <c r="AA50">
        <v>111.4</v>
      </c>
      <c r="AB50">
        <v>110.9</v>
      </c>
      <c r="AC50">
        <v>113.1</v>
      </c>
      <c r="AD50">
        <v>108.9</v>
      </c>
      <c r="AE50">
        <v>111.8</v>
      </c>
      <c r="AF50">
        <v>116</v>
      </c>
      <c r="AG50" s="2">
        <f>AVERAGE(All_India_Index_Upto_April23[[#This Row],[Food]:[General index]])</f>
        <v>170.18642857142854</v>
      </c>
      <c r="AH50" s="7">
        <f>DATE(All_India_Index_Upto_April23[[#This Row],[Year]],MONTH(1&amp;TRIM(All_India_Index_Upto_April23[[#This Row],[Month]])),1)</f>
        <v>41760</v>
      </c>
    </row>
    <row r="51" spans="1:34" x14ac:dyDescent="0.3">
      <c r="A51">
        <v>50</v>
      </c>
      <c r="B51" s="1" t="s">
        <v>33</v>
      </c>
      <c r="C51">
        <v>2014</v>
      </c>
      <c r="D51" s="1" t="s">
        <v>38</v>
      </c>
      <c r="E51" s="2">
        <v>1643.6000000000001</v>
      </c>
      <c r="F51">
        <v>122.7</v>
      </c>
      <c r="G51">
        <v>124.1</v>
      </c>
      <c r="H51">
        <v>114.2</v>
      </c>
      <c r="I51">
        <v>119.1</v>
      </c>
      <c r="J51">
        <v>103.5</v>
      </c>
      <c r="K51">
        <v>129.19999999999999</v>
      </c>
      <c r="L51">
        <v>127</v>
      </c>
      <c r="M51">
        <v>112.6</v>
      </c>
      <c r="N51">
        <v>101.3</v>
      </c>
      <c r="O51">
        <v>117</v>
      </c>
      <c r="P51">
        <v>112.9</v>
      </c>
      <c r="Q51">
        <v>121.7</v>
      </c>
      <c r="R51">
        <v>120</v>
      </c>
      <c r="S51">
        <v>118.3</v>
      </c>
      <c r="T51">
        <v>116.8</v>
      </c>
      <c r="U51">
        <v>112.9</v>
      </c>
      <c r="V51">
        <v>116.2</v>
      </c>
      <c r="W51" s="1">
        <v>114.3</v>
      </c>
      <c r="X51">
        <v>111.1</v>
      </c>
      <c r="Y51">
        <v>114.1</v>
      </c>
      <c r="Z51">
        <v>111.2</v>
      </c>
      <c r="AA51">
        <v>111.3</v>
      </c>
      <c r="AB51">
        <v>111.5</v>
      </c>
      <c r="AC51">
        <v>112.9</v>
      </c>
      <c r="AD51">
        <v>109.3</v>
      </c>
      <c r="AE51">
        <v>111.7</v>
      </c>
      <c r="AF51">
        <v>115.6</v>
      </c>
      <c r="AG51" s="2">
        <f>AVERAGE(All_India_Index_Upto_April23[[#This Row],[Food]:[General index]])</f>
        <v>169.86071428571429</v>
      </c>
      <c r="AH51" s="7">
        <f>DATE(All_India_Index_Upto_April23[[#This Row],[Year]],MONTH(1&amp;TRIM(All_India_Index_Upto_April23[[#This Row],[Month]])),1)</f>
        <v>41760</v>
      </c>
    </row>
    <row r="52" spans="1:34" x14ac:dyDescent="0.3">
      <c r="A52">
        <v>51</v>
      </c>
      <c r="B52" s="1" t="s">
        <v>34</v>
      </c>
      <c r="C52">
        <v>2014</v>
      </c>
      <c r="D52" s="1" t="s">
        <v>38</v>
      </c>
      <c r="E52" s="2">
        <v>1635.3000000000004</v>
      </c>
      <c r="F52">
        <v>121.1</v>
      </c>
      <c r="G52">
        <v>121.6</v>
      </c>
      <c r="H52">
        <v>115.9</v>
      </c>
      <c r="I52">
        <v>118.4</v>
      </c>
      <c r="J52">
        <v>107.7</v>
      </c>
      <c r="K52">
        <v>127.7</v>
      </c>
      <c r="L52">
        <v>125</v>
      </c>
      <c r="M52">
        <v>111.9</v>
      </c>
      <c r="N52">
        <v>102.8</v>
      </c>
      <c r="O52">
        <v>113.4</v>
      </c>
      <c r="P52">
        <v>113.7</v>
      </c>
      <c r="Q52">
        <v>120.4</v>
      </c>
      <c r="R52">
        <v>118.9</v>
      </c>
      <c r="S52">
        <v>116.8</v>
      </c>
      <c r="T52">
        <v>118</v>
      </c>
      <c r="U52">
        <v>115.2</v>
      </c>
      <c r="V52">
        <v>117.6</v>
      </c>
      <c r="W52" s="1">
        <v>114.3</v>
      </c>
      <c r="X52">
        <v>112.5</v>
      </c>
      <c r="Y52">
        <v>114.1</v>
      </c>
      <c r="Z52">
        <v>111.8</v>
      </c>
      <c r="AA52">
        <v>111.3</v>
      </c>
      <c r="AB52">
        <v>111.2</v>
      </c>
      <c r="AC52">
        <v>113</v>
      </c>
      <c r="AD52">
        <v>109.1</v>
      </c>
      <c r="AE52">
        <v>111.8</v>
      </c>
      <c r="AF52">
        <v>115.8</v>
      </c>
      <c r="AG52" s="2">
        <f>AVERAGE(All_India_Index_Upto_April23[[#This Row],[Food]:[General index]])</f>
        <v>169.51071428571433</v>
      </c>
      <c r="AH52" s="7">
        <f>DATE(All_India_Index_Upto_April23[[#This Row],[Year]],MONTH(1&amp;TRIM(All_India_Index_Upto_April23[[#This Row],[Month]])),1)</f>
        <v>41760</v>
      </c>
    </row>
    <row r="53" spans="1:34" x14ac:dyDescent="0.3">
      <c r="A53">
        <v>52</v>
      </c>
      <c r="B53" s="1" t="s">
        <v>18</v>
      </c>
      <c r="C53">
        <v>2014</v>
      </c>
      <c r="D53" s="1" t="s">
        <v>39</v>
      </c>
      <c r="E53" s="2">
        <v>1642.9999999999998</v>
      </c>
      <c r="F53">
        <v>120.7</v>
      </c>
      <c r="G53">
        <v>121.6</v>
      </c>
      <c r="H53">
        <v>116.1</v>
      </c>
      <c r="I53">
        <v>119.3</v>
      </c>
      <c r="J53">
        <v>110.3</v>
      </c>
      <c r="K53">
        <v>125.8</v>
      </c>
      <c r="L53">
        <v>129.30000000000001</v>
      </c>
      <c r="M53">
        <v>112.2</v>
      </c>
      <c r="N53">
        <v>103.6</v>
      </c>
      <c r="O53">
        <v>112.3</v>
      </c>
      <c r="P53">
        <v>114.9</v>
      </c>
      <c r="Q53">
        <v>120.1</v>
      </c>
      <c r="R53">
        <v>119.5</v>
      </c>
      <c r="S53">
        <v>117.3</v>
      </c>
      <c r="T53">
        <v>119.7</v>
      </c>
      <c r="U53">
        <v>117.3</v>
      </c>
      <c r="V53">
        <v>119.3</v>
      </c>
      <c r="W53" s="1">
        <v>139.12</v>
      </c>
      <c r="X53">
        <v>114.4</v>
      </c>
      <c r="Y53">
        <v>114.9</v>
      </c>
      <c r="Z53">
        <v>112.8</v>
      </c>
      <c r="AA53">
        <v>112.2</v>
      </c>
      <c r="AB53">
        <v>111.4</v>
      </c>
      <c r="AC53">
        <v>114.3</v>
      </c>
      <c r="AD53">
        <v>108</v>
      </c>
      <c r="AE53">
        <v>112.3</v>
      </c>
      <c r="AF53">
        <v>117</v>
      </c>
      <c r="AG53" s="2">
        <f>AVERAGE(All_India_Index_Upto_April23[[#This Row],[Food]:[General index]])</f>
        <v>171.38285714285715</v>
      </c>
      <c r="AH53" s="7">
        <f>DATE(All_India_Index_Upto_April23[[#This Row],[Year]],MONTH(1&amp;TRIM(All_India_Index_Upto_April23[[#This Row],[Month]])),1)</f>
        <v>41791</v>
      </c>
    </row>
    <row r="54" spans="1:34" x14ac:dyDescent="0.3">
      <c r="A54">
        <v>53</v>
      </c>
      <c r="B54" s="1" t="s">
        <v>33</v>
      </c>
      <c r="C54">
        <v>2014</v>
      </c>
      <c r="D54" s="1" t="s">
        <v>39</v>
      </c>
      <c r="E54" s="2">
        <v>1666</v>
      </c>
      <c r="F54">
        <v>123.1</v>
      </c>
      <c r="G54">
        <v>125.9</v>
      </c>
      <c r="H54">
        <v>115.4</v>
      </c>
      <c r="I54">
        <v>120.4</v>
      </c>
      <c r="J54">
        <v>103.4</v>
      </c>
      <c r="K54">
        <v>131.19999999999999</v>
      </c>
      <c r="L54">
        <v>137.5</v>
      </c>
      <c r="M54">
        <v>112.8</v>
      </c>
      <c r="N54">
        <v>101.4</v>
      </c>
      <c r="O54">
        <v>118.3</v>
      </c>
      <c r="P54">
        <v>113.2</v>
      </c>
      <c r="Q54">
        <v>122.4</v>
      </c>
      <c r="R54">
        <v>122</v>
      </c>
      <c r="S54">
        <v>119</v>
      </c>
      <c r="T54">
        <v>117.4</v>
      </c>
      <c r="U54">
        <v>113.2</v>
      </c>
      <c r="V54">
        <v>116.7</v>
      </c>
      <c r="W54" s="1">
        <v>113.9</v>
      </c>
      <c r="X54">
        <v>111.2</v>
      </c>
      <c r="Y54">
        <v>114.3</v>
      </c>
      <c r="Z54">
        <v>111.4</v>
      </c>
      <c r="AA54">
        <v>111.5</v>
      </c>
      <c r="AB54">
        <v>111.8</v>
      </c>
      <c r="AC54">
        <v>115.1</v>
      </c>
      <c r="AD54">
        <v>108.7</v>
      </c>
      <c r="AE54">
        <v>112.2</v>
      </c>
      <c r="AF54">
        <v>116.4</v>
      </c>
      <c r="AG54" s="2">
        <f>AVERAGE(All_India_Index_Upto_April23[[#This Row],[Food]:[General index]])</f>
        <v>171.6357142857143</v>
      </c>
      <c r="AH54" s="7">
        <f>DATE(All_India_Index_Upto_April23[[#This Row],[Year]],MONTH(1&amp;TRIM(All_India_Index_Upto_April23[[#This Row],[Month]])),1)</f>
        <v>41791</v>
      </c>
    </row>
    <row r="55" spans="1:34" x14ac:dyDescent="0.3">
      <c r="A55">
        <v>54</v>
      </c>
      <c r="B55" s="1" t="s">
        <v>34</v>
      </c>
      <c r="C55">
        <v>2014</v>
      </c>
      <c r="D55" s="1" t="s">
        <v>39</v>
      </c>
      <c r="E55" s="2">
        <v>1651.5000000000002</v>
      </c>
      <c r="F55">
        <v>121.5</v>
      </c>
      <c r="G55">
        <v>123.1</v>
      </c>
      <c r="H55">
        <v>115.8</v>
      </c>
      <c r="I55">
        <v>119.7</v>
      </c>
      <c r="J55">
        <v>107.8</v>
      </c>
      <c r="K55">
        <v>128.30000000000001</v>
      </c>
      <c r="L55">
        <v>132.1</v>
      </c>
      <c r="M55">
        <v>112.4</v>
      </c>
      <c r="N55">
        <v>102.9</v>
      </c>
      <c r="O55">
        <v>114.3</v>
      </c>
      <c r="P55">
        <v>114.2</v>
      </c>
      <c r="Q55">
        <v>121.2</v>
      </c>
      <c r="R55">
        <v>120.4</v>
      </c>
      <c r="S55">
        <v>117.8</v>
      </c>
      <c r="T55">
        <v>118.8</v>
      </c>
      <c r="U55">
        <v>115.6</v>
      </c>
      <c r="V55">
        <v>118.3</v>
      </c>
      <c r="W55" s="1">
        <v>113.9</v>
      </c>
      <c r="X55">
        <v>113.2</v>
      </c>
      <c r="Y55">
        <v>114.6</v>
      </c>
      <c r="Z55">
        <v>112.3</v>
      </c>
      <c r="AA55">
        <v>111.8</v>
      </c>
      <c r="AB55">
        <v>111.6</v>
      </c>
      <c r="AC55">
        <v>114.8</v>
      </c>
      <c r="AD55">
        <v>108.3</v>
      </c>
      <c r="AE55">
        <v>112.3</v>
      </c>
      <c r="AF55">
        <v>116.7</v>
      </c>
      <c r="AG55" s="2">
        <f>AVERAGE(All_India_Index_Upto_April23[[#This Row],[Food]:[General index]])</f>
        <v>170.90000000000006</v>
      </c>
      <c r="AH55" s="7">
        <f>DATE(All_India_Index_Upto_April23[[#This Row],[Year]],MONTH(1&amp;TRIM(All_India_Index_Upto_April23[[#This Row],[Month]])),1)</f>
        <v>41791</v>
      </c>
    </row>
    <row r="56" spans="1:34" x14ac:dyDescent="0.3">
      <c r="A56">
        <v>55</v>
      </c>
      <c r="B56" s="1" t="s">
        <v>18</v>
      </c>
      <c r="C56">
        <v>2014</v>
      </c>
      <c r="D56" s="1" t="s">
        <v>40</v>
      </c>
      <c r="E56" s="2">
        <v>1681.2</v>
      </c>
      <c r="F56">
        <v>121.7</v>
      </c>
      <c r="G56">
        <v>122.5</v>
      </c>
      <c r="H56">
        <v>117.7</v>
      </c>
      <c r="I56">
        <v>120.6</v>
      </c>
      <c r="J56">
        <v>110.4</v>
      </c>
      <c r="K56">
        <v>129.1</v>
      </c>
      <c r="L56">
        <v>150.1</v>
      </c>
      <c r="M56">
        <v>113.2</v>
      </c>
      <c r="N56">
        <v>104.8</v>
      </c>
      <c r="O56">
        <v>113.3</v>
      </c>
      <c r="P56">
        <v>115.6</v>
      </c>
      <c r="Q56">
        <v>120.9</v>
      </c>
      <c r="R56">
        <v>123.3</v>
      </c>
      <c r="S56">
        <v>118</v>
      </c>
      <c r="T56">
        <v>120.7</v>
      </c>
      <c r="U56">
        <v>118.3</v>
      </c>
      <c r="V56">
        <v>120.3</v>
      </c>
      <c r="W56" s="1">
        <v>139.12</v>
      </c>
      <c r="X56">
        <v>115.3</v>
      </c>
      <c r="Y56">
        <v>115.4</v>
      </c>
      <c r="Z56">
        <v>113.4</v>
      </c>
      <c r="AA56">
        <v>113.2</v>
      </c>
      <c r="AB56">
        <v>111.8</v>
      </c>
      <c r="AC56">
        <v>115.5</v>
      </c>
      <c r="AD56">
        <v>108.8</v>
      </c>
      <c r="AE56">
        <v>113.1</v>
      </c>
      <c r="AF56">
        <v>119.5</v>
      </c>
      <c r="AG56" s="2">
        <f>AVERAGE(All_India_Index_Upto_April23[[#This Row],[Food]:[General index]])</f>
        <v>174.52928571428578</v>
      </c>
      <c r="AH56" s="7">
        <f>DATE(All_India_Index_Upto_April23[[#This Row],[Year]],MONTH(1&amp;TRIM(All_India_Index_Upto_April23[[#This Row],[Month]])),1)</f>
        <v>41821</v>
      </c>
    </row>
    <row r="57" spans="1:34" x14ac:dyDescent="0.3">
      <c r="A57">
        <v>56</v>
      </c>
      <c r="B57" s="1" t="s">
        <v>33</v>
      </c>
      <c r="C57">
        <v>2014</v>
      </c>
      <c r="D57" s="1" t="s">
        <v>40</v>
      </c>
      <c r="E57" s="2">
        <v>1720.5</v>
      </c>
      <c r="F57">
        <v>123.8</v>
      </c>
      <c r="G57">
        <v>126.4</v>
      </c>
      <c r="H57">
        <v>118</v>
      </c>
      <c r="I57">
        <v>121.6</v>
      </c>
      <c r="J57">
        <v>103.5</v>
      </c>
      <c r="K57">
        <v>133.69999999999999</v>
      </c>
      <c r="L57">
        <v>172.4</v>
      </c>
      <c r="M57">
        <v>113.1</v>
      </c>
      <c r="N57">
        <v>102.7</v>
      </c>
      <c r="O57">
        <v>120</v>
      </c>
      <c r="P57">
        <v>113.8</v>
      </c>
      <c r="Q57">
        <v>123.4</v>
      </c>
      <c r="R57">
        <v>127.1</v>
      </c>
      <c r="S57">
        <v>121</v>
      </c>
      <c r="T57">
        <v>118</v>
      </c>
      <c r="U57">
        <v>113.6</v>
      </c>
      <c r="V57">
        <v>117.4</v>
      </c>
      <c r="W57" s="1">
        <v>114.8</v>
      </c>
      <c r="X57">
        <v>111.6</v>
      </c>
      <c r="Y57">
        <v>114.9</v>
      </c>
      <c r="Z57">
        <v>111.5</v>
      </c>
      <c r="AA57">
        <v>113</v>
      </c>
      <c r="AB57">
        <v>112.4</v>
      </c>
      <c r="AC57">
        <v>117.8</v>
      </c>
      <c r="AD57">
        <v>109.7</v>
      </c>
      <c r="AE57">
        <v>113.5</v>
      </c>
      <c r="AF57">
        <v>118.9</v>
      </c>
      <c r="AG57" s="2">
        <f>AVERAGE(All_India_Index_Upto_April23[[#This Row],[Food]:[General index]])</f>
        <v>176.00357142857138</v>
      </c>
      <c r="AH57" s="7">
        <f>DATE(All_India_Index_Upto_April23[[#This Row],[Year]],MONTH(1&amp;TRIM(All_India_Index_Upto_April23[[#This Row],[Month]])),1)</f>
        <v>41821</v>
      </c>
    </row>
    <row r="58" spans="1:34" x14ac:dyDescent="0.3">
      <c r="A58">
        <v>57</v>
      </c>
      <c r="B58" s="1" t="s">
        <v>34</v>
      </c>
      <c r="C58">
        <v>2014</v>
      </c>
      <c r="D58" s="1" t="s">
        <v>40</v>
      </c>
      <c r="E58" s="2">
        <v>1695.1</v>
      </c>
      <c r="F58">
        <v>122.4</v>
      </c>
      <c r="G58">
        <v>123.9</v>
      </c>
      <c r="H58">
        <v>117.8</v>
      </c>
      <c r="I58">
        <v>121</v>
      </c>
      <c r="J58">
        <v>107.9</v>
      </c>
      <c r="K58">
        <v>131.19999999999999</v>
      </c>
      <c r="L58">
        <v>157.69999999999999</v>
      </c>
      <c r="M58">
        <v>113.2</v>
      </c>
      <c r="N58">
        <v>104.1</v>
      </c>
      <c r="O58">
        <v>115.5</v>
      </c>
      <c r="P58">
        <v>114.8</v>
      </c>
      <c r="Q58">
        <v>122.1</v>
      </c>
      <c r="R58">
        <v>124.7</v>
      </c>
      <c r="S58">
        <v>118.8</v>
      </c>
      <c r="T58">
        <v>119.6</v>
      </c>
      <c r="U58">
        <v>116.3</v>
      </c>
      <c r="V58">
        <v>119.1</v>
      </c>
      <c r="W58" s="1">
        <v>114.8</v>
      </c>
      <c r="X58">
        <v>113.9</v>
      </c>
      <c r="Y58">
        <v>115.2</v>
      </c>
      <c r="Z58">
        <v>112.7</v>
      </c>
      <c r="AA58">
        <v>113.1</v>
      </c>
      <c r="AB58">
        <v>112.1</v>
      </c>
      <c r="AC58">
        <v>116.8</v>
      </c>
      <c r="AD58">
        <v>109.2</v>
      </c>
      <c r="AE58">
        <v>113.3</v>
      </c>
      <c r="AF58">
        <v>119.2</v>
      </c>
      <c r="AG58" s="2">
        <f>AVERAGE(All_India_Index_Upto_April23[[#This Row],[Food]:[General index]])</f>
        <v>174.48214285714289</v>
      </c>
      <c r="AH58" s="7">
        <f>DATE(All_India_Index_Upto_April23[[#This Row],[Year]],MONTH(1&amp;TRIM(All_India_Index_Upto_April23[[#This Row],[Month]])),1)</f>
        <v>41821</v>
      </c>
    </row>
    <row r="59" spans="1:34" x14ac:dyDescent="0.3">
      <c r="A59">
        <v>58</v>
      </c>
      <c r="B59" s="1" t="s">
        <v>18</v>
      </c>
      <c r="C59">
        <v>2014</v>
      </c>
      <c r="D59" s="1" t="s">
        <v>41</v>
      </c>
      <c r="E59" s="2">
        <v>1701.0999999999997</v>
      </c>
      <c r="F59">
        <v>121.8</v>
      </c>
      <c r="G59">
        <v>122.8</v>
      </c>
      <c r="H59">
        <v>117.8</v>
      </c>
      <c r="I59">
        <v>121.9</v>
      </c>
      <c r="J59">
        <v>110.6</v>
      </c>
      <c r="K59">
        <v>129.69999999999999</v>
      </c>
      <c r="L59">
        <v>161.1</v>
      </c>
      <c r="M59">
        <v>114.1</v>
      </c>
      <c r="N59">
        <v>105.1</v>
      </c>
      <c r="O59">
        <v>114.6</v>
      </c>
      <c r="P59">
        <v>115.8</v>
      </c>
      <c r="Q59">
        <v>121.7</v>
      </c>
      <c r="R59">
        <v>125.3</v>
      </c>
      <c r="S59">
        <v>118.8</v>
      </c>
      <c r="T59">
        <v>120.9</v>
      </c>
      <c r="U59">
        <v>118.8</v>
      </c>
      <c r="V59">
        <v>120.7</v>
      </c>
      <c r="W59" s="1">
        <v>139.12</v>
      </c>
      <c r="X59">
        <v>115.4</v>
      </c>
      <c r="Y59">
        <v>115.9</v>
      </c>
      <c r="Z59">
        <v>114</v>
      </c>
      <c r="AA59">
        <v>113.2</v>
      </c>
      <c r="AB59">
        <v>112.2</v>
      </c>
      <c r="AC59">
        <v>116.2</v>
      </c>
      <c r="AD59">
        <v>109.4</v>
      </c>
      <c r="AE59">
        <v>113.5</v>
      </c>
      <c r="AF59">
        <v>120.7</v>
      </c>
      <c r="AG59" s="2">
        <f>AVERAGE(All_India_Index_Upto_April23[[#This Row],[Food]:[General index]])</f>
        <v>176.15071428571423</v>
      </c>
      <c r="AH59" s="7">
        <f>DATE(All_India_Index_Upto_April23[[#This Row],[Year]],MONTH(1&amp;TRIM(All_India_Index_Upto_April23[[#This Row],[Month]])),1)</f>
        <v>41852</v>
      </c>
    </row>
    <row r="60" spans="1:34" x14ac:dyDescent="0.3">
      <c r="A60">
        <v>59</v>
      </c>
      <c r="B60" s="1" t="s">
        <v>33</v>
      </c>
      <c r="C60">
        <v>2014</v>
      </c>
      <c r="D60" s="1" t="s">
        <v>41</v>
      </c>
      <c r="E60" s="2">
        <v>1740</v>
      </c>
      <c r="F60">
        <v>124.8</v>
      </c>
      <c r="G60">
        <v>127.3</v>
      </c>
      <c r="H60">
        <v>116.5</v>
      </c>
      <c r="I60">
        <v>122.2</v>
      </c>
      <c r="J60">
        <v>103.6</v>
      </c>
      <c r="K60">
        <v>132.69999999999999</v>
      </c>
      <c r="L60">
        <v>181.9</v>
      </c>
      <c r="M60">
        <v>115.2</v>
      </c>
      <c r="N60">
        <v>102.7</v>
      </c>
      <c r="O60">
        <v>122.1</v>
      </c>
      <c r="P60">
        <v>114.4</v>
      </c>
      <c r="Q60">
        <v>124.7</v>
      </c>
      <c r="R60">
        <v>128.9</v>
      </c>
      <c r="S60">
        <v>123</v>
      </c>
      <c r="T60">
        <v>118.6</v>
      </c>
      <c r="U60">
        <v>114.1</v>
      </c>
      <c r="V60">
        <v>117.9</v>
      </c>
      <c r="W60" s="1">
        <v>115.5</v>
      </c>
      <c r="X60">
        <v>111.8</v>
      </c>
      <c r="Y60">
        <v>115.3</v>
      </c>
      <c r="Z60">
        <v>112.2</v>
      </c>
      <c r="AA60">
        <v>112.5</v>
      </c>
      <c r="AB60">
        <v>112.9</v>
      </c>
      <c r="AC60">
        <v>119.2</v>
      </c>
      <c r="AD60">
        <v>110.5</v>
      </c>
      <c r="AE60">
        <v>113.9</v>
      </c>
      <c r="AF60">
        <v>119.9</v>
      </c>
      <c r="AG60" s="2">
        <f>AVERAGE(All_India_Index_Upto_April23[[#This Row],[Food]:[General index]])</f>
        <v>177.65357142857133</v>
      </c>
      <c r="AH60" s="7">
        <f>DATE(All_India_Index_Upto_April23[[#This Row],[Year]],MONTH(1&amp;TRIM(All_India_Index_Upto_April23[[#This Row],[Month]])),1)</f>
        <v>41852</v>
      </c>
    </row>
    <row r="61" spans="1:34" x14ac:dyDescent="0.3">
      <c r="A61">
        <v>60</v>
      </c>
      <c r="B61" s="1" t="s">
        <v>34</v>
      </c>
      <c r="C61">
        <v>2014</v>
      </c>
      <c r="D61" s="1" t="s">
        <v>41</v>
      </c>
      <c r="E61" s="2">
        <v>1714.3999999999999</v>
      </c>
      <c r="F61">
        <v>122.7</v>
      </c>
      <c r="G61">
        <v>124.4</v>
      </c>
      <c r="H61">
        <v>117.3</v>
      </c>
      <c r="I61">
        <v>122</v>
      </c>
      <c r="J61">
        <v>108</v>
      </c>
      <c r="K61">
        <v>131.1</v>
      </c>
      <c r="L61">
        <v>168.2</v>
      </c>
      <c r="M61">
        <v>114.5</v>
      </c>
      <c r="N61">
        <v>104.3</v>
      </c>
      <c r="O61">
        <v>117.1</v>
      </c>
      <c r="P61">
        <v>115.2</v>
      </c>
      <c r="Q61">
        <v>123.1</v>
      </c>
      <c r="R61">
        <v>126.6</v>
      </c>
      <c r="S61">
        <v>119.9</v>
      </c>
      <c r="T61">
        <v>120</v>
      </c>
      <c r="U61">
        <v>116.8</v>
      </c>
      <c r="V61">
        <v>119.6</v>
      </c>
      <c r="W61" s="1">
        <v>115.5</v>
      </c>
      <c r="X61">
        <v>114</v>
      </c>
      <c r="Y61">
        <v>115.6</v>
      </c>
      <c r="Z61">
        <v>113.3</v>
      </c>
      <c r="AA61">
        <v>112.8</v>
      </c>
      <c r="AB61">
        <v>112.6</v>
      </c>
      <c r="AC61">
        <v>118</v>
      </c>
      <c r="AD61">
        <v>109.9</v>
      </c>
      <c r="AE61">
        <v>113.7</v>
      </c>
      <c r="AF61">
        <v>120.3</v>
      </c>
      <c r="AG61" s="2">
        <f>AVERAGE(All_India_Index_Upto_April23[[#This Row],[Food]:[General index]])</f>
        <v>176.10357142857146</v>
      </c>
      <c r="AH61" s="7">
        <f>DATE(All_India_Index_Upto_April23[[#This Row],[Year]],MONTH(1&amp;TRIM(All_India_Index_Upto_April23[[#This Row],[Month]])),1)</f>
        <v>41852</v>
      </c>
    </row>
    <row r="62" spans="1:34" x14ac:dyDescent="0.3">
      <c r="A62">
        <v>61</v>
      </c>
      <c r="B62" s="1" t="s">
        <v>18</v>
      </c>
      <c r="C62">
        <v>2014</v>
      </c>
      <c r="D62" s="1" t="s">
        <v>42</v>
      </c>
      <c r="E62" s="2">
        <v>1702.7</v>
      </c>
      <c r="F62">
        <v>122.3</v>
      </c>
      <c r="G62">
        <v>122.4</v>
      </c>
      <c r="H62">
        <v>117.8</v>
      </c>
      <c r="I62">
        <v>122.7</v>
      </c>
      <c r="J62">
        <v>110.4</v>
      </c>
      <c r="K62">
        <v>129.80000000000001</v>
      </c>
      <c r="L62">
        <v>158.80000000000001</v>
      </c>
      <c r="M62">
        <v>115</v>
      </c>
      <c r="N62">
        <v>104.7</v>
      </c>
      <c r="O62">
        <v>114.9</v>
      </c>
      <c r="P62">
        <v>116.5</v>
      </c>
      <c r="Q62">
        <v>122.6</v>
      </c>
      <c r="R62">
        <v>125.3</v>
      </c>
      <c r="S62">
        <v>119.5</v>
      </c>
      <c r="T62">
        <v>121.7</v>
      </c>
      <c r="U62">
        <v>119.2</v>
      </c>
      <c r="V62">
        <v>121.3</v>
      </c>
      <c r="W62" s="1">
        <v>139.12</v>
      </c>
      <c r="X62">
        <v>115.8</v>
      </c>
      <c r="Y62">
        <v>116.7</v>
      </c>
      <c r="Z62">
        <v>114.5</v>
      </c>
      <c r="AA62">
        <v>112.8</v>
      </c>
      <c r="AB62">
        <v>112.6</v>
      </c>
      <c r="AC62">
        <v>116.6</v>
      </c>
      <c r="AD62">
        <v>109.1</v>
      </c>
      <c r="AE62">
        <v>113.7</v>
      </c>
      <c r="AF62">
        <v>120.9</v>
      </c>
      <c r="AG62" s="2">
        <f>AVERAGE(All_India_Index_Upto_April23[[#This Row],[Food]:[General index]])</f>
        <v>176.40785714285718</v>
      </c>
      <c r="AH62" s="7">
        <f>DATE(All_India_Index_Upto_April23[[#This Row],[Year]],MONTH(1&amp;TRIM(All_India_Index_Upto_April23[[#This Row],[Month]])),1)</f>
        <v>41883</v>
      </c>
    </row>
    <row r="63" spans="1:34" x14ac:dyDescent="0.3">
      <c r="A63">
        <v>62</v>
      </c>
      <c r="B63" s="1" t="s">
        <v>33</v>
      </c>
      <c r="C63">
        <v>2014</v>
      </c>
      <c r="D63" s="1" t="s">
        <v>42</v>
      </c>
      <c r="E63" s="2">
        <v>1718.0000000000002</v>
      </c>
      <c r="F63">
        <v>124.2</v>
      </c>
      <c r="G63">
        <v>125.4</v>
      </c>
      <c r="H63">
        <v>116.4</v>
      </c>
      <c r="I63">
        <v>122.7</v>
      </c>
      <c r="J63">
        <v>103.5</v>
      </c>
      <c r="K63">
        <v>124.5</v>
      </c>
      <c r="L63">
        <v>168.6</v>
      </c>
      <c r="M63">
        <v>116.9</v>
      </c>
      <c r="N63">
        <v>101.9</v>
      </c>
      <c r="O63">
        <v>122.9</v>
      </c>
      <c r="P63">
        <v>114.8</v>
      </c>
      <c r="Q63">
        <v>125.2</v>
      </c>
      <c r="R63">
        <v>126.7</v>
      </c>
      <c r="S63">
        <v>124.3</v>
      </c>
      <c r="T63">
        <v>119.2</v>
      </c>
      <c r="U63">
        <v>114.5</v>
      </c>
      <c r="V63">
        <v>118.4</v>
      </c>
      <c r="W63" s="1">
        <v>116.1</v>
      </c>
      <c r="X63">
        <v>111.8</v>
      </c>
      <c r="Y63">
        <v>115.5</v>
      </c>
      <c r="Z63">
        <v>112.3</v>
      </c>
      <c r="AA63">
        <v>111.2</v>
      </c>
      <c r="AB63">
        <v>113.4</v>
      </c>
      <c r="AC63">
        <v>120</v>
      </c>
      <c r="AD63">
        <v>110</v>
      </c>
      <c r="AE63">
        <v>113.6</v>
      </c>
      <c r="AF63">
        <v>119.2</v>
      </c>
      <c r="AG63" s="2">
        <f>AVERAGE(All_India_Index_Upto_April23[[#This Row],[Food]:[General index]])</f>
        <v>176.1142857142857</v>
      </c>
      <c r="AH63" s="7">
        <f>DATE(All_India_Index_Upto_April23[[#This Row],[Year]],MONTH(1&amp;TRIM(All_India_Index_Upto_April23[[#This Row],[Month]])),1)</f>
        <v>41883</v>
      </c>
    </row>
    <row r="64" spans="1:34" x14ac:dyDescent="0.3">
      <c r="A64">
        <v>63</v>
      </c>
      <c r="B64" s="1" t="s">
        <v>34</v>
      </c>
      <c r="C64">
        <v>2014</v>
      </c>
      <c r="D64" s="1" t="s">
        <v>42</v>
      </c>
      <c r="E64" s="2">
        <v>1706.8999999999996</v>
      </c>
      <c r="F64">
        <v>122.9</v>
      </c>
      <c r="G64">
        <v>123.5</v>
      </c>
      <c r="H64">
        <v>117.3</v>
      </c>
      <c r="I64">
        <v>122.7</v>
      </c>
      <c r="J64">
        <v>107.9</v>
      </c>
      <c r="K64">
        <v>127.3</v>
      </c>
      <c r="L64">
        <v>162.1</v>
      </c>
      <c r="M64">
        <v>115.6</v>
      </c>
      <c r="N64">
        <v>103.8</v>
      </c>
      <c r="O64">
        <v>117.6</v>
      </c>
      <c r="P64">
        <v>115.8</v>
      </c>
      <c r="Q64">
        <v>123.8</v>
      </c>
      <c r="R64">
        <v>125.8</v>
      </c>
      <c r="S64">
        <v>120.8</v>
      </c>
      <c r="T64">
        <v>120.7</v>
      </c>
      <c r="U64">
        <v>117.2</v>
      </c>
      <c r="V64">
        <v>120.1</v>
      </c>
      <c r="W64" s="1">
        <v>116.1</v>
      </c>
      <c r="X64">
        <v>114.3</v>
      </c>
      <c r="Y64">
        <v>116.1</v>
      </c>
      <c r="Z64">
        <v>113.7</v>
      </c>
      <c r="AA64">
        <v>112</v>
      </c>
      <c r="AB64">
        <v>113.1</v>
      </c>
      <c r="AC64">
        <v>118.6</v>
      </c>
      <c r="AD64">
        <v>109.5</v>
      </c>
      <c r="AE64">
        <v>113.7</v>
      </c>
      <c r="AF64">
        <v>120.1</v>
      </c>
      <c r="AG64" s="2">
        <f>AVERAGE(All_India_Index_Upto_April23[[#This Row],[Food]:[General index]])</f>
        <v>175.67857142857147</v>
      </c>
      <c r="AH64" s="7">
        <f>DATE(All_India_Index_Upto_April23[[#This Row],[Year]],MONTH(1&amp;TRIM(All_India_Index_Upto_April23[[#This Row],[Month]])),1)</f>
        <v>41883</v>
      </c>
    </row>
    <row r="65" spans="1:34" x14ac:dyDescent="0.3">
      <c r="A65">
        <v>64</v>
      </c>
      <c r="B65" s="1" t="s">
        <v>18</v>
      </c>
      <c r="C65">
        <v>2014</v>
      </c>
      <c r="D65" s="1" t="s">
        <v>43</v>
      </c>
      <c r="E65" s="2">
        <v>1701.1999999999998</v>
      </c>
      <c r="F65">
        <v>122.6</v>
      </c>
      <c r="G65">
        <v>122.5</v>
      </c>
      <c r="H65">
        <v>118.3</v>
      </c>
      <c r="I65">
        <v>123.2</v>
      </c>
      <c r="J65">
        <v>110.5</v>
      </c>
      <c r="K65">
        <v>128.9</v>
      </c>
      <c r="L65">
        <v>155.30000000000001</v>
      </c>
      <c r="M65">
        <v>115.5</v>
      </c>
      <c r="N65">
        <v>104</v>
      </c>
      <c r="O65">
        <v>115.3</v>
      </c>
      <c r="P65">
        <v>116.8</v>
      </c>
      <c r="Q65">
        <v>123.2</v>
      </c>
      <c r="R65">
        <v>125.1</v>
      </c>
      <c r="S65">
        <v>120</v>
      </c>
      <c r="T65">
        <v>122.7</v>
      </c>
      <c r="U65">
        <v>120.3</v>
      </c>
      <c r="V65">
        <v>122.3</v>
      </c>
      <c r="W65" s="1">
        <v>139.12</v>
      </c>
      <c r="X65">
        <v>116.4</v>
      </c>
      <c r="Y65">
        <v>117.5</v>
      </c>
      <c r="Z65">
        <v>115.3</v>
      </c>
      <c r="AA65">
        <v>112.6</v>
      </c>
      <c r="AB65">
        <v>113</v>
      </c>
      <c r="AC65">
        <v>116.9</v>
      </c>
      <c r="AD65">
        <v>109.3</v>
      </c>
      <c r="AE65">
        <v>114</v>
      </c>
      <c r="AF65">
        <v>121</v>
      </c>
      <c r="AG65" s="2">
        <f>AVERAGE(All_India_Index_Upto_April23[[#This Row],[Food]:[General index]])</f>
        <v>176.52928571428575</v>
      </c>
      <c r="AH65" s="7">
        <f>DATE(All_India_Index_Upto_April23[[#This Row],[Year]],MONTH(1&amp;TRIM(All_India_Index_Upto_April23[[#This Row],[Month]])),1)</f>
        <v>41913</v>
      </c>
    </row>
    <row r="66" spans="1:34" x14ac:dyDescent="0.3">
      <c r="A66">
        <v>65</v>
      </c>
      <c r="B66" s="1" t="s">
        <v>33</v>
      </c>
      <c r="C66">
        <v>2014</v>
      </c>
      <c r="D66" s="1" t="s">
        <v>43</v>
      </c>
      <c r="E66" s="2">
        <v>1711.8</v>
      </c>
      <c r="F66">
        <v>124.6</v>
      </c>
      <c r="G66">
        <v>126.1</v>
      </c>
      <c r="H66">
        <v>117.8</v>
      </c>
      <c r="I66">
        <v>123.1</v>
      </c>
      <c r="J66">
        <v>103.5</v>
      </c>
      <c r="K66">
        <v>123.5</v>
      </c>
      <c r="L66">
        <v>159.6</v>
      </c>
      <c r="M66">
        <v>117.4</v>
      </c>
      <c r="N66">
        <v>101.2</v>
      </c>
      <c r="O66">
        <v>123.8</v>
      </c>
      <c r="P66">
        <v>115.2</v>
      </c>
      <c r="Q66">
        <v>125.9</v>
      </c>
      <c r="R66">
        <v>125.8</v>
      </c>
      <c r="S66">
        <v>124.3</v>
      </c>
      <c r="T66">
        <v>119.6</v>
      </c>
      <c r="U66">
        <v>114.9</v>
      </c>
      <c r="V66">
        <v>118.9</v>
      </c>
      <c r="W66" s="1">
        <v>116.7</v>
      </c>
      <c r="X66">
        <v>112</v>
      </c>
      <c r="Y66">
        <v>115.8</v>
      </c>
      <c r="Z66">
        <v>112.6</v>
      </c>
      <c r="AA66">
        <v>111</v>
      </c>
      <c r="AB66">
        <v>113.6</v>
      </c>
      <c r="AC66">
        <v>120.2</v>
      </c>
      <c r="AD66">
        <v>110.1</v>
      </c>
      <c r="AE66">
        <v>113.7</v>
      </c>
      <c r="AF66">
        <v>119.1</v>
      </c>
      <c r="AG66" s="2">
        <f>AVERAGE(All_India_Index_Upto_April23[[#This Row],[Food]:[General index]])</f>
        <v>175.77857142857147</v>
      </c>
      <c r="AH66" s="7">
        <f>DATE(All_India_Index_Upto_April23[[#This Row],[Year]],MONTH(1&amp;TRIM(All_India_Index_Upto_April23[[#This Row],[Month]])),1)</f>
        <v>41913</v>
      </c>
    </row>
    <row r="67" spans="1:34" x14ac:dyDescent="0.3">
      <c r="A67">
        <v>66</v>
      </c>
      <c r="B67" s="1" t="s">
        <v>34</v>
      </c>
      <c r="C67">
        <v>2014</v>
      </c>
      <c r="D67" s="1" t="s">
        <v>43</v>
      </c>
      <c r="E67" s="2">
        <v>1703.8</v>
      </c>
      <c r="F67">
        <v>123.2</v>
      </c>
      <c r="G67">
        <v>123.8</v>
      </c>
      <c r="H67">
        <v>118.1</v>
      </c>
      <c r="I67">
        <v>123.2</v>
      </c>
      <c r="J67">
        <v>107.9</v>
      </c>
      <c r="K67">
        <v>126.4</v>
      </c>
      <c r="L67">
        <v>156.80000000000001</v>
      </c>
      <c r="M67">
        <v>116.1</v>
      </c>
      <c r="N67">
        <v>103.1</v>
      </c>
      <c r="O67">
        <v>118.1</v>
      </c>
      <c r="P67">
        <v>116.1</v>
      </c>
      <c r="Q67">
        <v>124.5</v>
      </c>
      <c r="R67">
        <v>125.4</v>
      </c>
      <c r="S67">
        <v>121.1</v>
      </c>
      <c r="T67">
        <v>121.5</v>
      </c>
      <c r="U67">
        <v>118.1</v>
      </c>
      <c r="V67">
        <v>121</v>
      </c>
      <c r="W67" s="1">
        <v>116.7</v>
      </c>
      <c r="X67">
        <v>114.7</v>
      </c>
      <c r="Y67">
        <v>116.7</v>
      </c>
      <c r="Z67">
        <v>114.3</v>
      </c>
      <c r="AA67">
        <v>111.8</v>
      </c>
      <c r="AB67">
        <v>113.3</v>
      </c>
      <c r="AC67">
        <v>118.8</v>
      </c>
      <c r="AD67">
        <v>109.6</v>
      </c>
      <c r="AE67">
        <v>113.9</v>
      </c>
      <c r="AF67">
        <v>120.1</v>
      </c>
      <c r="AG67" s="2">
        <f>AVERAGE(All_India_Index_Upto_April23[[#This Row],[Food]:[General index]])</f>
        <v>175.64642857142857</v>
      </c>
      <c r="AH67" s="7">
        <f>DATE(All_India_Index_Upto_April23[[#This Row],[Year]],MONTH(1&amp;TRIM(All_India_Index_Upto_April23[[#This Row],[Month]])),1)</f>
        <v>41913</v>
      </c>
    </row>
    <row r="68" spans="1:34" x14ac:dyDescent="0.3">
      <c r="A68">
        <v>67</v>
      </c>
      <c r="B68" s="1" t="s">
        <v>18</v>
      </c>
      <c r="C68">
        <v>2014</v>
      </c>
      <c r="D68" s="1" t="s">
        <v>45</v>
      </c>
      <c r="E68" s="2">
        <v>1702.8</v>
      </c>
      <c r="F68">
        <v>122.7</v>
      </c>
      <c r="G68">
        <v>122.6</v>
      </c>
      <c r="H68">
        <v>119.9</v>
      </c>
      <c r="I68">
        <v>124</v>
      </c>
      <c r="J68">
        <v>110.5</v>
      </c>
      <c r="K68">
        <v>128.80000000000001</v>
      </c>
      <c r="L68">
        <v>152</v>
      </c>
      <c r="M68">
        <v>116.2</v>
      </c>
      <c r="N68">
        <v>103.3</v>
      </c>
      <c r="O68">
        <v>115.8</v>
      </c>
      <c r="P68">
        <v>116.8</v>
      </c>
      <c r="Q68">
        <v>124.5</v>
      </c>
      <c r="R68">
        <v>124.9</v>
      </c>
      <c r="S68">
        <v>120.8</v>
      </c>
      <c r="T68">
        <v>123.3</v>
      </c>
      <c r="U68">
        <v>120.5</v>
      </c>
      <c r="V68">
        <v>122.9</v>
      </c>
      <c r="W68" s="1">
        <v>139.12</v>
      </c>
      <c r="X68">
        <v>117.3</v>
      </c>
      <c r="Y68">
        <v>118.1</v>
      </c>
      <c r="Z68">
        <v>115.9</v>
      </c>
      <c r="AA68">
        <v>112</v>
      </c>
      <c r="AB68">
        <v>113.3</v>
      </c>
      <c r="AC68">
        <v>117.2</v>
      </c>
      <c r="AD68">
        <v>108.8</v>
      </c>
      <c r="AE68">
        <v>114.1</v>
      </c>
      <c r="AF68">
        <v>121.1</v>
      </c>
      <c r="AG68" s="2">
        <f>AVERAGE(All_India_Index_Upto_April23[[#This Row],[Food]:[General index]])</f>
        <v>176.7578571428572</v>
      </c>
      <c r="AH68" s="7">
        <f>DATE(All_India_Index_Upto_April23[[#This Row],[Year]],MONTH(1&amp;TRIM(All_India_Index_Upto_April23[[#This Row],[Month]])),1)</f>
        <v>41944</v>
      </c>
    </row>
    <row r="69" spans="1:34" x14ac:dyDescent="0.3">
      <c r="A69">
        <v>68</v>
      </c>
      <c r="B69" s="1" t="s">
        <v>33</v>
      </c>
      <c r="C69">
        <v>2014</v>
      </c>
      <c r="D69" s="1" t="s">
        <v>45</v>
      </c>
      <c r="E69" s="2">
        <v>1713.6</v>
      </c>
      <c r="F69">
        <v>124.5</v>
      </c>
      <c r="G69">
        <v>125.6</v>
      </c>
      <c r="H69">
        <v>122.7</v>
      </c>
      <c r="I69">
        <v>124.6</v>
      </c>
      <c r="J69">
        <v>103.2</v>
      </c>
      <c r="K69">
        <v>122.2</v>
      </c>
      <c r="L69">
        <v>153.19999999999999</v>
      </c>
      <c r="M69">
        <v>119.3</v>
      </c>
      <c r="N69">
        <v>99.8</v>
      </c>
      <c r="O69">
        <v>124.6</v>
      </c>
      <c r="P69">
        <v>115.8</v>
      </c>
      <c r="Q69">
        <v>126.9</v>
      </c>
      <c r="R69">
        <v>125.4</v>
      </c>
      <c r="S69">
        <v>125.8</v>
      </c>
      <c r="T69">
        <v>120.3</v>
      </c>
      <c r="U69">
        <v>115.4</v>
      </c>
      <c r="V69">
        <v>119.5</v>
      </c>
      <c r="W69" s="1">
        <v>117.1</v>
      </c>
      <c r="X69">
        <v>112.6</v>
      </c>
      <c r="Y69">
        <v>116.4</v>
      </c>
      <c r="Z69">
        <v>113</v>
      </c>
      <c r="AA69">
        <v>109.7</v>
      </c>
      <c r="AB69">
        <v>114</v>
      </c>
      <c r="AC69">
        <v>120.3</v>
      </c>
      <c r="AD69">
        <v>109.6</v>
      </c>
      <c r="AE69">
        <v>113.4</v>
      </c>
      <c r="AF69">
        <v>119</v>
      </c>
      <c r="AG69" s="2">
        <f>AVERAGE(All_India_Index_Upto_April23[[#This Row],[Food]:[General index]])</f>
        <v>175.98214285714286</v>
      </c>
      <c r="AH69" s="7">
        <f>DATE(All_India_Index_Upto_April23[[#This Row],[Year]],MONTH(1&amp;TRIM(All_India_Index_Upto_April23[[#This Row],[Month]])),1)</f>
        <v>41944</v>
      </c>
    </row>
    <row r="70" spans="1:34" x14ac:dyDescent="0.3">
      <c r="A70">
        <v>69</v>
      </c>
      <c r="B70" s="1" t="s">
        <v>34</v>
      </c>
      <c r="C70">
        <v>2014</v>
      </c>
      <c r="D70" s="1" t="s">
        <v>45</v>
      </c>
      <c r="E70" s="2">
        <v>1705.3</v>
      </c>
      <c r="F70">
        <v>123.3</v>
      </c>
      <c r="G70">
        <v>123.7</v>
      </c>
      <c r="H70">
        <v>121</v>
      </c>
      <c r="I70">
        <v>124.2</v>
      </c>
      <c r="J70">
        <v>107.8</v>
      </c>
      <c r="K70">
        <v>125.7</v>
      </c>
      <c r="L70">
        <v>152.4</v>
      </c>
      <c r="M70">
        <v>117.2</v>
      </c>
      <c r="N70">
        <v>102.1</v>
      </c>
      <c r="O70">
        <v>118.7</v>
      </c>
      <c r="P70">
        <v>116.4</v>
      </c>
      <c r="Q70">
        <v>125.6</v>
      </c>
      <c r="R70">
        <v>125.1</v>
      </c>
      <c r="S70">
        <v>122.1</v>
      </c>
      <c r="T70">
        <v>122.1</v>
      </c>
      <c r="U70">
        <v>118.4</v>
      </c>
      <c r="V70">
        <v>121.6</v>
      </c>
      <c r="W70" s="1">
        <v>117.1</v>
      </c>
      <c r="X70">
        <v>115.5</v>
      </c>
      <c r="Y70">
        <v>117.3</v>
      </c>
      <c r="Z70">
        <v>114.8</v>
      </c>
      <c r="AA70">
        <v>110.8</v>
      </c>
      <c r="AB70">
        <v>113.7</v>
      </c>
      <c r="AC70">
        <v>119</v>
      </c>
      <c r="AD70">
        <v>109.1</v>
      </c>
      <c r="AE70">
        <v>113.8</v>
      </c>
      <c r="AF70">
        <v>120.1</v>
      </c>
      <c r="AG70" s="2">
        <f>AVERAGE(All_India_Index_Upto_April23[[#This Row],[Food]:[General index]])</f>
        <v>175.85357142857146</v>
      </c>
      <c r="AH70" s="7">
        <f>DATE(All_India_Index_Upto_April23[[#This Row],[Year]],MONTH(1&amp;TRIM(All_India_Index_Upto_April23[[#This Row],[Month]])),1)</f>
        <v>41944</v>
      </c>
    </row>
    <row r="71" spans="1:34" x14ac:dyDescent="0.3">
      <c r="A71">
        <v>70</v>
      </c>
      <c r="B71" s="1" t="s">
        <v>18</v>
      </c>
      <c r="C71">
        <v>2014</v>
      </c>
      <c r="D71" s="1" t="s">
        <v>46</v>
      </c>
      <c r="E71" s="2">
        <v>1691.3</v>
      </c>
      <c r="F71">
        <v>122.4</v>
      </c>
      <c r="G71">
        <v>122.4</v>
      </c>
      <c r="H71">
        <v>121.8</v>
      </c>
      <c r="I71">
        <v>124.2</v>
      </c>
      <c r="J71">
        <v>110.2</v>
      </c>
      <c r="K71">
        <v>128.6</v>
      </c>
      <c r="L71">
        <v>140.30000000000001</v>
      </c>
      <c r="M71">
        <v>116.3</v>
      </c>
      <c r="N71">
        <v>102</v>
      </c>
      <c r="O71">
        <v>116</v>
      </c>
      <c r="P71">
        <v>117.3</v>
      </c>
      <c r="Q71">
        <v>124.8</v>
      </c>
      <c r="R71">
        <v>123.3</v>
      </c>
      <c r="S71">
        <v>121.7</v>
      </c>
      <c r="T71">
        <v>123.8</v>
      </c>
      <c r="U71">
        <v>120.6</v>
      </c>
      <c r="V71">
        <v>123.3</v>
      </c>
      <c r="W71" s="1">
        <v>139.12</v>
      </c>
      <c r="X71">
        <v>117.4</v>
      </c>
      <c r="Y71">
        <v>118.2</v>
      </c>
      <c r="Z71">
        <v>116.2</v>
      </c>
      <c r="AA71">
        <v>111.5</v>
      </c>
      <c r="AB71">
        <v>113.3</v>
      </c>
      <c r="AC71">
        <v>117.7</v>
      </c>
      <c r="AD71">
        <v>109.4</v>
      </c>
      <c r="AE71">
        <v>114.2</v>
      </c>
      <c r="AF71">
        <v>120.3</v>
      </c>
      <c r="AG71" s="2">
        <f>AVERAGE(All_India_Index_Upto_April23[[#This Row],[Food]:[General index]])</f>
        <v>175.98642857142858</v>
      </c>
      <c r="AH71" s="7">
        <f>DATE(All_India_Index_Upto_April23[[#This Row],[Year]],MONTH(1&amp;TRIM(All_India_Index_Upto_April23[[#This Row],[Month]])),1)</f>
        <v>41974</v>
      </c>
    </row>
    <row r="72" spans="1:34" x14ac:dyDescent="0.3">
      <c r="A72">
        <v>71</v>
      </c>
      <c r="B72" s="1" t="s">
        <v>33</v>
      </c>
      <c r="C72">
        <v>2014</v>
      </c>
      <c r="D72" s="1" t="s">
        <v>46</v>
      </c>
      <c r="E72" s="2">
        <v>1703.6</v>
      </c>
      <c r="F72">
        <v>124</v>
      </c>
      <c r="G72">
        <v>124.7</v>
      </c>
      <c r="H72">
        <v>126.3</v>
      </c>
      <c r="I72">
        <v>124.9</v>
      </c>
      <c r="J72">
        <v>103</v>
      </c>
      <c r="K72">
        <v>122.3</v>
      </c>
      <c r="L72">
        <v>141</v>
      </c>
      <c r="M72">
        <v>120.1</v>
      </c>
      <c r="N72">
        <v>97.8</v>
      </c>
      <c r="O72">
        <v>125.4</v>
      </c>
      <c r="P72">
        <v>116.1</v>
      </c>
      <c r="Q72">
        <v>127.6</v>
      </c>
      <c r="R72">
        <v>124</v>
      </c>
      <c r="S72">
        <v>126.4</v>
      </c>
      <c r="T72">
        <v>120.7</v>
      </c>
      <c r="U72">
        <v>115.8</v>
      </c>
      <c r="V72">
        <v>120</v>
      </c>
      <c r="W72" s="1">
        <v>116.5</v>
      </c>
      <c r="X72">
        <v>113</v>
      </c>
      <c r="Y72">
        <v>116.8</v>
      </c>
      <c r="Z72">
        <v>113.2</v>
      </c>
      <c r="AA72">
        <v>108.8</v>
      </c>
      <c r="AB72">
        <v>114.3</v>
      </c>
      <c r="AC72">
        <v>120.7</v>
      </c>
      <c r="AD72">
        <v>110.4</v>
      </c>
      <c r="AE72">
        <v>113.4</v>
      </c>
      <c r="AF72">
        <v>118.4</v>
      </c>
      <c r="AG72" s="2">
        <f>AVERAGE(All_India_Index_Upto_April23[[#This Row],[Food]:[General index]])</f>
        <v>175.32857142857139</v>
      </c>
      <c r="AH72" s="7">
        <f>DATE(All_India_Index_Upto_April23[[#This Row],[Year]],MONTH(1&amp;TRIM(All_India_Index_Upto_April23[[#This Row],[Month]])),1)</f>
        <v>41974</v>
      </c>
    </row>
    <row r="73" spans="1:34" x14ac:dyDescent="0.3">
      <c r="A73">
        <v>72</v>
      </c>
      <c r="B73" s="1" t="s">
        <v>34</v>
      </c>
      <c r="C73">
        <v>2014</v>
      </c>
      <c r="D73" s="1" t="s">
        <v>46</v>
      </c>
      <c r="E73" s="2">
        <v>1694.6999999999998</v>
      </c>
      <c r="F73">
        <v>122.9</v>
      </c>
      <c r="G73">
        <v>123.2</v>
      </c>
      <c r="H73">
        <v>123.5</v>
      </c>
      <c r="I73">
        <v>124.5</v>
      </c>
      <c r="J73">
        <v>107.6</v>
      </c>
      <c r="K73">
        <v>125.7</v>
      </c>
      <c r="L73">
        <v>140.5</v>
      </c>
      <c r="M73">
        <v>117.6</v>
      </c>
      <c r="N73">
        <v>100.6</v>
      </c>
      <c r="O73">
        <v>119.1</v>
      </c>
      <c r="P73">
        <v>116.8</v>
      </c>
      <c r="Q73">
        <v>126.1</v>
      </c>
      <c r="R73">
        <v>123.6</v>
      </c>
      <c r="S73">
        <v>123</v>
      </c>
      <c r="T73">
        <v>122.6</v>
      </c>
      <c r="U73">
        <v>118.6</v>
      </c>
      <c r="V73">
        <v>122</v>
      </c>
      <c r="W73" s="1">
        <v>116.5</v>
      </c>
      <c r="X73">
        <v>115.7</v>
      </c>
      <c r="Y73">
        <v>117.5</v>
      </c>
      <c r="Z73">
        <v>115.1</v>
      </c>
      <c r="AA73">
        <v>110.1</v>
      </c>
      <c r="AB73">
        <v>113.9</v>
      </c>
      <c r="AC73">
        <v>119.5</v>
      </c>
      <c r="AD73">
        <v>109.8</v>
      </c>
      <c r="AE73">
        <v>113.8</v>
      </c>
      <c r="AF73">
        <v>119.4</v>
      </c>
      <c r="AG73" s="2">
        <f>AVERAGE(All_India_Index_Upto_April23[[#This Row],[Food]:[General index]])</f>
        <v>175.13928571428571</v>
      </c>
      <c r="AH73" s="7">
        <f>DATE(All_India_Index_Upto_April23[[#This Row],[Year]],MONTH(1&amp;TRIM(All_India_Index_Upto_April23[[#This Row],[Month]])),1)</f>
        <v>41974</v>
      </c>
    </row>
    <row r="74" spans="1:34" x14ac:dyDescent="0.3">
      <c r="A74">
        <v>73</v>
      </c>
      <c r="B74" s="1" t="s">
        <v>18</v>
      </c>
      <c r="C74">
        <v>2015</v>
      </c>
      <c r="D74" s="1" t="s">
        <v>19</v>
      </c>
      <c r="E74" s="2">
        <v>1690.8</v>
      </c>
      <c r="F74">
        <v>123.1</v>
      </c>
      <c r="G74">
        <v>123.1</v>
      </c>
      <c r="H74">
        <v>122.1</v>
      </c>
      <c r="I74">
        <v>124.9</v>
      </c>
      <c r="J74">
        <v>111</v>
      </c>
      <c r="K74">
        <v>130.4</v>
      </c>
      <c r="L74">
        <v>132.30000000000001</v>
      </c>
      <c r="M74">
        <v>117.2</v>
      </c>
      <c r="N74">
        <v>100.5</v>
      </c>
      <c r="O74">
        <v>117.2</v>
      </c>
      <c r="P74">
        <v>117.9</v>
      </c>
      <c r="Q74">
        <v>125.6</v>
      </c>
      <c r="R74">
        <v>122.8</v>
      </c>
      <c r="S74">
        <v>122.7</v>
      </c>
      <c r="T74">
        <v>124.4</v>
      </c>
      <c r="U74">
        <v>121.6</v>
      </c>
      <c r="V74">
        <v>124</v>
      </c>
      <c r="W74" s="1">
        <v>139.12</v>
      </c>
      <c r="X74">
        <v>118.4</v>
      </c>
      <c r="Y74">
        <v>118.9</v>
      </c>
      <c r="Z74">
        <v>116.6</v>
      </c>
      <c r="AA74">
        <v>111</v>
      </c>
      <c r="AB74">
        <v>114</v>
      </c>
      <c r="AC74">
        <v>118.2</v>
      </c>
      <c r="AD74">
        <v>110.2</v>
      </c>
      <c r="AE74">
        <v>114.5</v>
      </c>
      <c r="AF74">
        <v>120.3</v>
      </c>
      <c r="AG74" s="2">
        <f>AVERAGE(All_India_Index_Upto_April23[[#This Row],[Food]:[General index]])</f>
        <v>176.17214285714286</v>
      </c>
      <c r="AH74" s="7">
        <f>DATE(All_India_Index_Upto_April23[[#This Row],[Year]],MONTH(1&amp;TRIM(All_India_Index_Upto_April23[[#This Row],[Month]])),1)</f>
        <v>42005</v>
      </c>
    </row>
    <row r="75" spans="1:34" x14ac:dyDescent="0.3">
      <c r="A75">
        <v>74</v>
      </c>
      <c r="B75" s="1" t="s">
        <v>33</v>
      </c>
      <c r="C75">
        <v>2015</v>
      </c>
      <c r="D75" s="1" t="s">
        <v>19</v>
      </c>
      <c r="E75" s="2">
        <v>1702.3</v>
      </c>
      <c r="F75">
        <v>124</v>
      </c>
      <c r="G75">
        <v>125.5</v>
      </c>
      <c r="H75">
        <v>126.6</v>
      </c>
      <c r="I75">
        <v>125.2</v>
      </c>
      <c r="J75">
        <v>104.3</v>
      </c>
      <c r="K75">
        <v>121.3</v>
      </c>
      <c r="L75">
        <v>134.4</v>
      </c>
      <c r="M75">
        <v>122.9</v>
      </c>
      <c r="N75">
        <v>96.1</v>
      </c>
      <c r="O75">
        <v>126.6</v>
      </c>
      <c r="P75">
        <v>116.5</v>
      </c>
      <c r="Q75">
        <v>128</v>
      </c>
      <c r="R75">
        <v>123.5</v>
      </c>
      <c r="S75">
        <v>127.4</v>
      </c>
      <c r="T75">
        <v>121</v>
      </c>
      <c r="U75">
        <v>116.1</v>
      </c>
      <c r="V75">
        <v>120.2</v>
      </c>
      <c r="W75" s="1">
        <v>117.3</v>
      </c>
      <c r="X75">
        <v>113.4</v>
      </c>
      <c r="Y75">
        <v>117.2</v>
      </c>
      <c r="Z75">
        <v>113.7</v>
      </c>
      <c r="AA75">
        <v>107.9</v>
      </c>
      <c r="AB75">
        <v>114.6</v>
      </c>
      <c r="AC75">
        <v>120.8</v>
      </c>
      <c r="AD75">
        <v>111.4</v>
      </c>
      <c r="AE75">
        <v>113.4</v>
      </c>
      <c r="AF75">
        <v>118.5</v>
      </c>
      <c r="AG75" s="2">
        <f>AVERAGE(All_India_Index_Upto_April23[[#This Row],[Food]:[General index]])</f>
        <v>175.36071428571427</v>
      </c>
      <c r="AH75" s="7">
        <f>DATE(All_India_Index_Upto_April23[[#This Row],[Year]],MONTH(1&amp;TRIM(All_India_Index_Upto_April23[[#This Row],[Month]])),1)</f>
        <v>42005</v>
      </c>
    </row>
    <row r="76" spans="1:34" x14ac:dyDescent="0.3">
      <c r="A76">
        <v>75</v>
      </c>
      <c r="B76" s="1" t="s">
        <v>34</v>
      </c>
      <c r="C76">
        <v>2015</v>
      </c>
      <c r="D76" s="1" t="s">
        <v>19</v>
      </c>
      <c r="E76" s="2">
        <v>1693.3</v>
      </c>
      <c r="F76">
        <v>123.4</v>
      </c>
      <c r="G76">
        <v>123.9</v>
      </c>
      <c r="H76">
        <v>123.8</v>
      </c>
      <c r="I76">
        <v>125</v>
      </c>
      <c r="J76">
        <v>108.5</v>
      </c>
      <c r="K76">
        <v>126.2</v>
      </c>
      <c r="L76">
        <v>133</v>
      </c>
      <c r="M76">
        <v>119.1</v>
      </c>
      <c r="N76">
        <v>99</v>
      </c>
      <c r="O76">
        <v>120.3</v>
      </c>
      <c r="P76">
        <v>117.3</v>
      </c>
      <c r="Q76">
        <v>126.7</v>
      </c>
      <c r="R76">
        <v>123.1</v>
      </c>
      <c r="S76">
        <v>124</v>
      </c>
      <c r="T76">
        <v>123.1</v>
      </c>
      <c r="U76">
        <v>119.3</v>
      </c>
      <c r="V76">
        <v>122.5</v>
      </c>
      <c r="W76" s="1">
        <v>117.3</v>
      </c>
      <c r="X76">
        <v>116.5</v>
      </c>
      <c r="Y76">
        <v>118.1</v>
      </c>
      <c r="Z76">
        <v>115.5</v>
      </c>
      <c r="AA76">
        <v>109.4</v>
      </c>
      <c r="AB76">
        <v>114.3</v>
      </c>
      <c r="AC76">
        <v>119.7</v>
      </c>
      <c r="AD76">
        <v>110.7</v>
      </c>
      <c r="AE76">
        <v>114</v>
      </c>
      <c r="AF76">
        <v>119.5</v>
      </c>
      <c r="AG76" s="2">
        <f>AVERAGE(All_India_Index_Upto_April23[[#This Row],[Food]:[General index]])</f>
        <v>175.23214285714286</v>
      </c>
      <c r="AH76" s="7">
        <f>DATE(All_India_Index_Upto_April23[[#This Row],[Year]],MONTH(1&amp;TRIM(All_India_Index_Upto_April23[[#This Row],[Month]])),1)</f>
        <v>42005</v>
      </c>
    </row>
    <row r="77" spans="1:34" x14ac:dyDescent="0.3">
      <c r="A77">
        <v>76</v>
      </c>
      <c r="B77" s="1" t="s">
        <v>18</v>
      </c>
      <c r="C77">
        <v>2015</v>
      </c>
      <c r="D77" s="1" t="s">
        <v>35</v>
      </c>
      <c r="E77" s="2">
        <v>1694.7999999999997</v>
      </c>
      <c r="F77">
        <v>123.4</v>
      </c>
      <c r="G77">
        <v>124.4</v>
      </c>
      <c r="H77">
        <v>122.1</v>
      </c>
      <c r="I77">
        <v>125.8</v>
      </c>
      <c r="J77">
        <v>111.5</v>
      </c>
      <c r="K77">
        <v>129.4</v>
      </c>
      <c r="L77">
        <v>128.19999999999999</v>
      </c>
      <c r="M77">
        <v>118.8</v>
      </c>
      <c r="N77">
        <v>100</v>
      </c>
      <c r="O77">
        <v>118.6</v>
      </c>
      <c r="P77">
        <v>118.8</v>
      </c>
      <c r="Q77">
        <v>126.8</v>
      </c>
      <c r="R77">
        <v>122.8</v>
      </c>
      <c r="S77">
        <v>124.2</v>
      </c>
      <c r="T77">
        <v>125.4</v>
      </c>
      <c r="U77">
        <v>122.7</v>
      </c>
      <c r="V77">
        <v>125</v>
      </c>
      <c r="W77" s="1">
        <v>139.12</v>
      </c>
      <c r="X77">
        <v>120</v>
      </c>
      <c r="Y77">
        <v>119.6</v>
      </c>
      <c r="Z77">
        <v>117.7</v>
      </c>
      <c r="AA77">
        <v>110.9</v>
      </c>
      <c r="AB77">
        <v>114.8</v>
      </c>
      <c r="AC77">
        <v>118.7</v>
      </c>
      <c r="AD77">
        <v>110.8</v>
      </c>
      <c r="AE77">
        <v>115</v>
      </c>
      <c r="AF77">
        <v>120.6</v>
      </c>
      <c r="AG77" s="2">
        <f>AVERAGE(All_India_Index_Upto_April23[[#This Row],[Food]:[General index]])</f>
        <v>176.78285714285715</v>
      </c>
      <c r="AH77" s="7">
        <f>DATE(All_India_Index_Upto_April23[[#This Row],[Year]],MONTH(1&amp;TRIM(All_India_Index_Upto_April23[[#This Row],[Month]])),1)</f>
        <v>42036</v>
      </c>
    </row>
    <row r="78" spans="1:34" x14ac:dyDescent="0.3">
      <c r="A78">
        <v>77</v>
      </c>
      <c r="B78" s="1" t="s">
        <v>33</v>
      </c>
      <c r="C78">
        <v>2015</v>
      </c>
      <c r="D78" s="1" t="s">
        <v>35</v>
      </c>
      <c r="E78" s="2">
        <v>1699.2</v>
      </c>
      <c r="F78">
        <v>124.3</v>
      </c>
      <c r="G78">
        <v>126.5</v>
      </c>
      <c r="H78">
        <v>119.5</v>
      </c>
      <c r="I78">
        <v>125.6</v>
      </c>
      <c r="J78">
        <v>104.9</v>
      </c>
      <c r="K78">
        <v>121.6</v>
      </c>
      <c r="L78">
        <v>131.80000000000001</v>
      </c>
      <c r="M78">
        <v>125.1</v>
      </c>
      <c r="N78">
        <v>95</v>
      </c>
      <c r="O78">
        <v>127.7</v>
      </c>
      <c r="P78">
        <v>116.8</v>
      </c>
      <c r="Q78">
        <v>128.6</v>
      </c>
      <c r="R78">
        <v>123.7</v>
      </c>
      <c r="S78">
        <v>128.1</v>
      </c>
      <c r="T78">
        <v>121.3</v>
      </c>
      <c r="U78">
        <v>116.5</v>
      </c>
      <c r="V78">
        <v>120.6</v>
      </c>
      <c r="W78" s="1">
        <v>118.1</v>
      </c>
      <c r="X78">
        <v>114</v>
      </c>
      <c r="Y78">
        <v>117.7</v>
      </c>
      <c r="Z78">
        <v>114.1</v>
      </c>
      <c r="AA78">
        <v>106.8</v>
      </c>
      <c r="AB78">
        <v>114.9</v>
      </c>
      <c r="AC78">
        <v>120.4</v>
      </c>
      <c r="AD78">
        <v>111.7</v>
      </c>
      <c r="AE78">
        <v>113.2</v>
      </c>
      <c r="AF78">
        <v>118.7</v>
      </c>
      <c r="AG78" s="2">
        <f>AVERAGE(All_India_Index_Upto_April23[[#This Row],[Food]:[General index]])</f>
        <v>175.22857142857137</v>
      </c>
      <c r="AH78" s="7">
        <f>DATE(All_India_Index_Upto_April23[[#This Row],[Year]],MONTH(1&amp;TRIM(All_India_Index_Upto_April23[[#This Row],[Month]])),1)</f>
        <v>42036</v>
      </c>
    </row>
    <row r="79" spans="1:34" x14ac:dyDescent="0.3">
      <c r="A79">
        <v>78</v>
      </c>
      <c r="B79" s="1" t="s">
        <v>34</v>
      </c>
      <c r="C79">
        <v>2015</v>
      </c>
      <c r="D79" s="1" t="s">
        <v>35</v>
      </c>
      <c r="E79" s="2">
        <v>1694.5999999999997</v>
      </c>
      <c r="F79">
        <v>123.7</v>
      </c>
      <c r="G79">
        <v>125.1</v>
      </c>
      <c r="H79">
        <v>121.1</v>
      </c>
      <c r="I79">
        <v>125.7</v>
      </c>
      <c r="J79">
        <v>109.1</v>
      </c>
      <c r="K79">
        <v>125.8</v>
      </c>
      <c r="L79">
        <v>129.4</v>
      </c>
      <c r="M79">
        <v>120.9</v>
      </c>
      <c r="N79">
        <v>98.3</v>
      </c>
      <c r="O79">
        <v>121.6</v>
      </c>
      <c r="P79">
        <v>118</v>
      </c>
      <c r="Q79">
        <v>127.6</v>
      </c>
      <c r="R79">
        <v>123.1</v>
      </c>
      <c r="S79">
        <v>125.2</v>
      </c>
      <c r="T79">
        <v>123.8</v>
      </c>
      <c r="U79">
        <v>120.1</v>
      </c>
      <c r="V79">
        <v>123.3</v>
      </c>
      <c r="W79" s="1">
        <v>118.1</v>
      </c>
      <c r="X79">
        <v>117.7</v>
      </c>
      <c r="Y79">
        <v>118.7</v>
      </c>
      <c r="Z79">
        <v>116.3</v>
      </c>
      <c r="AA79">
        <v>108.7</v>
      </c>
      <c r="AB79">
        <v>114.9</v>
      </c>
      <c r="AC79">
        <v>119.7</v>
      </c>
      <c r="AD79">
        <v>111.2</v>
      </c>
      <c r="AE79">
        <v>114.1</v>
      </c>
      <c r="AF79">
        <v>119.7</v>
      </c>
      <c r="AG79" s="2">
        <f>AVERAGE(All_India_Index_Upto_April23[[#This Row],[Food]:[General index]])</f>
        <v>175.55357142857139</v>
      </c>
      <c r="AH79" s="7">
        <f>DATE(All_India_Index_Upto_April23[[#This Row],[Year]],MONTH(1&amp;TRIM(All_India_Index_Upto_April23[[#This Row],[Month]])),1)</f>
        <v>42036</v>
      </c>
    </row>
    <row r="80" spans="1:34" x14ac:dyDescent="0.3">
      <c r="A80">
        <v>79</v>
      </c>
      <c r="B80" s="1" t="s">
        <v>18</v>
      </c>
      <c r="C80">
        <v>2015</v>
      </c>
      <c r="D80" s="1" t="s">
        <v>36</v>
      </c>
      <c r="E80" s="2">
        <v>1696.2</v>
      </c>
      <c r="F80">
        <v>123.3</v>
      </c>
      <c r="G80">
        <v>124.7</v>
      </c>
      <c r="H80">
        <v>118.9</v>
      </c>
      <c r="I80">
        <v>126</v>
      </c>
      <c r="J80">
        <v>111.8</v>
      </c>
      <c r="K80">
        <v>130.9</v>
      </c>
      <c r="L80">
        <v>128</v>
      </c>
      <c r="M80">
        <v>119.9</v>
      </c>
      <c r="N80">
        <v>98.9</v>
      </c>
      <c r="O80">
        <v>119.4</v>
      </c>
      <c r="P80">
        <v>118.9</v>
      </c>
      <c r="Q80">
        <v>127.7</v>
      </c>
      <c r="R80">
        <v>123.1</v>
      </c>
      <c r="S80">
        <v>124.7</v>
      </c>
      <c r="T80">
        <v>126</v>
      </c>
      <c r="U80">
        <v>122.9</v>
      </c>
      <c r="V80">
        <v>125.5</v>
      </c>
      <c r="W80" s="1">
        <v>139.12</v>
      </c>
      <c r="X80">
        <v>120.6</v>
      </c>
      <c r="Y80">
        <v>120.2</v>
      </c>
      <c r="Z80">
        <v>118.2</v>
      </c>
      <c r="AA80">
        <v>111.6</v>
      </c>
      <c r="AB80">
        <v>115.5</v>
      </c>
      <c r="AC80">
        <v>119.4</v>
      </c>
      <c r="AD80">
        <v>110.8</v>
      </c>
      <c r="AE80">
        <v>115.5</v>
      </c>
      <c r="AF80">
        <v>121.1</v>
      </c>
      <c r="AG80" s="2">
        <f>AVERAGE(All_India_Index_Upto_April23[[#This Row],[Food]:[General index]])</f>
        <v>177.1007142857143</v>
      </c>
      <c r="AH80" s="7">
        <f>DATE(All_India_Index_Upto_April23[[#This Row],[Year]],MONTH(1&amp;TRIM(All_India_Index_Upto_April23[[#This Row],[Month]])),1)</f>
        <v>42064</v>
      </c>
    </row>
    <row r="81" spans="1:34" x14ac:dyDescent="0.3">
      <c r="A81">
        <v>80</v>
      </c>
      <c r="B81" s="1" t="s">
        <v>33</v>
      </c>
      <c r="C81">
        <v>2015</v>
      </c>
      <c r="D81" s="1" t="s">
        <v>36</v>
      </c>
      <c r="E81" s="2">
        <v>1696.8000000000002</v>
      </c>
      <c r="F81">
        <v>124</v>
      </c>
      <c r="G81">
        <v>126.7</v>
      </c>
      <c r="H81">
        <v>113.5</v>
      </c>
      <c r="I81">
        <v>125.9</v>
      </c>
      <c r="J81">
        <v>104.8</v>
      </c>
      <c r="K81">
        <v>123.8</v>
      </c>
      <c r="L81">
        <v>131.4</v>
      </c>
      <c r="M81">
        <v>127.2</v>
      </c>
      <c r="N81">
        <v>93.2</v>
      </c>
      <c r="O81">
        <v>127.4</v>
      </c>
      <c r="P81">
        <v>117</v>
      </c>
      <c r="Q81">
        <v>129.19999999999999</v>
      </c>
      <c r="R81">
        <v>123.9</v>
      </c>
      <c r="S81">
        <v>128.80000000000001</v>
      </c>
      <c r="T81">
        <v>121.7</v>
      </c>
      <c r="U81">
        <v>116.9</v>
      </c>
      <c r="V81">
        <v>120.9</v>
      </c>
      <c r="W81" s="1">
        <v>118.6</v>
      </c>
      <c r="X81">
        <v>114.4</v>
      </c>
      <c r="Y81">
        <v>118</v>
      </c>
      <c r="Z81">
        <v>114.3</v>
      </c>
      <c r="AA81">
        <v>108.4</v>
      </c>
      <c r="AB81">
        <v>115.4</v>
      </c>
      <c r="AC81">
        <v>120.6</v>
      </c>
      <c r="AD81">
        <v>111.3</v>
      </c>
      <c r="AE81">
        <v>113.8</v>
      </c>
      <c r="AF81">
        <v>119.1</v>
      </c>
      <c r="AG81" s="2">
        <f>AVERAGE(All_India_Index_Upto_April23[[#This Row],[Food]:[General index]])</f>
        <v>175.25000000000003</v>
      </c>
      <c r="AH81" s="7">
        <f>DATE(All_India_Index_Upto_April23[[#This Row],[Year]],MONTH(1&amp;TRIM(All_India_Index_Upto_April23[[#This Row],[Month]])),1)</f>
        <v>42064</v>
      </c>
    </row>
    <row r="82" spans="1:34" x14ac:dyDescent="0.3">
      <c r="A82">
        <v>81</v>
      </c>
      <c r="B82" s="1" t="s">
        <v>34</v>
      </c>
      <c r="C82">
        <v>2015</v>
      </c>
      <c r="D82" s="1" t="s">
        <v>36</v>
      </c>
      <c r="E82" s="2">
        <v>1694.8999999999999</v>
      </c>
      <c r="F82">
        <v>123.5</v>
      </c>
      <c r="G82">
        <v>125.4</v>
      </c>
      <c r="H82">
        <v>116.8</v>
      </c>
      <c r="I82">
        <v>126</v>
      </c>
      <c r="J82">
        <v>109.2</v>
      </c>
      <c r="K82">
        <v>127.6</v>
      </c>
      <c r="L82">
        <v>129.19999999999999</v>
      </c>
      <c r="M82">
        <v>122.4</v>
      </c>
      <c r="N82">
        <v>97</v>
      </c>
      <c r="O82">
        <v>122.1</v>
      </c>
      <c r="P82">
        <v>118.1</v>
      </c>
      <c r="Q82">
        <v>128.4</v>
      </c>
      <c r="R82">
        <v>123.4</v>
      </c>
      <c r="S82">
        <v>125.8</v>
      </c>
      <c r="T82">
        <v>124.3</v>
      </c>
      <c r="U82">
        <v>120.4</v>
      </c>
      <c r="V82">
        <v>123.7</v>
      </c>
      <c r="W82" s="1">
        <v>118.6</v>
      </c>
      <c r="X82">
        <v>118.3</v>
      </c>
      <c r="Y82">
        <v>119.2</v>
      </c>
      <c r="Z82">
        <v>116.7</v>
      </c>
      <c r="AA82">
        <v>109.9</v>
      </c>
      <c r="AB82">
        <v>115.4</v>
      </c>
      <c r="AC82">
        <v>120.1</v>
      </c>
      <c r="AD82">
        <v>111</v>
      </c>
      <c r="AE82">
        <v>114.7</v>
      </c>
      <c r="AF82">
        <v>120.2</v>
      </c>
      <c r="AG82" s="2">
        <f>AVERAGE(All_India_Index_Upto_April23[[#This Row],[Food]:[General index]])</f>
        <v>175.79642857142855</v>
      </c>
      <c r="AH82" s="7">
        <f>DATE(All_India_Index_Upto_April23[[#This Row],[Year]],MONTH(1&amp;TRIM(All_India_Index_Upto_April23[[#This Row],[Month]])),1)</f>
        <v>42064</v>
      </c>
    </row>
    <row r="83" spans="1:34" x14ac:dyDescent="0.3">
      <c r="A83">
        <v>82</v>
      </c>
      <c r="B83" s="1" t="s">
        <v>18</v>
      </c>
      <c r="C83">
        <v>2015</v>
      </c>
      <c r="D83" s="1" t="s">
        <v>37</v>
      </c>
      <c r="E83" s="2">
        <v>1702.9</v>
      </c>
      <c r="F83">
        <v>123.3</v>
      </c>
      <c r="G83">
        <v>125.5</v>
      </c>
      <c r="H83">
        <v>117.2</v>
      </c>
      <c r="I83">
        <v>126.8</v>
      </c>
      <c r="J83">
        <v>111.9</v>
      </c>
      <c r="K83">
        <v>134.19999999999999</v>
      </c>
      <c r="L83">
        <v>127.5</v>
      </c>
      <c r="M83">
        <v>121.5</v>
      </c>
      <c r="N83">
        <v>97.8</v>
      </c>
      <c r="O83">
        <v>119.8</v>
      </c>
      <c r="P83">
        <v>119.4</v>
      </c>
      <c r="Q83">
        <v>128.69999999999999</v>
      </c>
      <c r="R83">
        <v>123.6</v>
      </c>
      <c r="S83">
        <v>125.7</v>
      </c>
      <c r="T83">
        <v>126.4</v>
      </c>
      <c r="U83">
        <v>123.3</v>
      </c>
      <c r="V83">
        <v>126</v>
      </c>
      <c r="W83" s="1">
        <v>139.12</v>
      </c>
      <c r="X83">
        <v>121.2</v>
      </c>
      <c r="Y83">
        <v>120.9</v>
      </c>
      <c r="Z83">
        <v>118.6</v>
      </c>
      <c r="AA83">
        <v>111.9</v>
      </c>
      <c r="AB83">
        <v>116.2</v>
      </c>
      <c r="AC83">
        <v>119.9</v>
      </c>
      <c r="AD83">
        <v>111.6</v>
      </c>
      <c r="AE83">
        <v>116</v>
      </c>
      <c r="AF83">
        <v>121.5</v>
      </c>
      <c r="AG83" s="2">
        <f>AVERAGE(All_India_Index_Upto_April23[[#This Row],[Food]:[General index]])</f>
        <v>177.80071428571429</v>
      </c>
      <c r="AH83" s="7">
        <f>DATE(All_India_Index_Upto_April23[[#This Row],[Year]],MONTH(1&amp;TRIM(All_India_Index_Upto_April23[[#This Row],[Month]])),1)</f>
        <v>42095</v>
      </c>
    </row>
    <row r="84" spans="1:34" x14ac:dyDescent="0.3">
      <c r="A84">
        <v>83</v>
      </c>
      <c r="B84" s="1" t="s">
        <v>33</v>
      </c>
      <c r="C84">
        <v>2015</v>
      </c>
      <c r="D84" s="1" t="s">
        <v>37</v>
      </c>
      <c r="E84" s="2">
        <v>1706.1999999999998</v>
      </c>
      <c r="F84">
        <v>123.8</v>
      </c>
      <c r="G84">
        <v>128.19999999999999</v>
      </c>
      <c r="H84">
        <v>110</v>
      </c>
      <c r="I84">
        <v>126.3</v>
      </c>
      <c r="J84">
        <v>104.5</v>
      </c>
      <c r="K84">
        <v>130.6</v>
      </c>
      <c r="L84">
        <v>130.80000000000001</v>
      </c>
      <c r="M84">
        <v>131.30000000000001</v>
      </c>
      <c r="N84">
        <v>91.6</v>
      </c>
      <c r="O84">
        <v>127.7</v>
      </c>
      <c r="P84">
        <v>117.2</v>
      </c>
      <c r="Q84">
        <v>129.5</v>
      </c>
      <c r="R84">
        <v>124.6</v>
      </c>
      <c r="S84">
        <v>130.1</v>
      </c>
      <c r="T84">
        <v>122.1</v>
      </c>
      <c r="U84">
        <v>117.2</v>
      </c>
      <c r="V84">
        <v>121.3</v>
      </c>
      <c r="W84" s="1">
        <v>119.2</v>
      </c>
      <c r="X84">
        <v>114.7</v>
      </c>
      <c r="Y84">
        <v>118.4</v>
      </c>
      <c r="Z84">
        <v>114.6</v>
      </c>
      <c r="AA84">
        <v>108.4</v>
      </c>
      <c r="AB84">
        <v>115.6</v>
      </c>
      <c r="AC84">
        <v>121.7</v>
      </c>
      <c r="AD84">
        <v>111.8</v>
      </c>
      <c r="AE84">
        <v>114.2</v>
      </c>
      <c r="AF84">
        <v>119.7</v>
      </c>
      <c r="AG84" s="2">
        <f>AVERAGE(All_India_Index_Upto_April23[[#This Row],[Food]:[General index]])</f>
        <v>176.1178571428571</v>
      </c>
      <c r="AH84" s="7">
        <f>DATE(All_India_Index_Upto_April23[[#This Row],[Year]],MONTH(1&amp;TRIM(All_India_Index_Upto_April23[[#This Row],[Month]])),1)</f>
        <v>42095</v>
      </c>
    </row>
    <row r="85" spans="1:34" x14ac:dyDescent="0.3">
      <c r="A85">
        <v>84</v>
      </c>
      <c r="B85" s="1" t="s">
        <v>34</v>
      </c>
      <c r="C85">
        <v>2015</v>
      </c>
      <c r="D85" s="1" t="s">
        <v>37</v>
      </c>
      <c r="E85" s="2">
        <v>1702.6000000000001</v>
      </c>
      <c r="F85">
        <v>123.5</v>
      </c>
      <c r="G85">
        <v>126.4</v>
      </c>
      <c r="H85">
        <v>114.4</v>
      </c>
      <c r="I85">
        <v>126.6</v>
      </c>
      <c r="J85">
        <v>109.2</v>
      </c>
      <c r="K85">
        <v>132.5</v>
      </c>
      <c r="L85">
        <v>128.6</v>
      </c>
      <c r="M85">
        <v>124.8</v>
      </c>
      <c r="N85">
        <v>95.7</v>
      </c>
      <c r="O85">
        <v>122.4</v>
      </c>
      <c r="P85">
        <v>118.5</v>
      </c>
      <c r="Q85">
        <v>129.1</v>
      </c>
      <c r="R85">
        <v>124</v>
      </c>
      <c r="S85">
        <v>126.9</v>
      </c>
      <c r="T85">
        <v>124.7</v>
      </c>
      <c r="U85">
        <v>120.8</v>
      </c>
      <c r="V85">
        <v>124.1</v>
      </c>
      <c r="W85" s="1">
        <v>119.2</v>
      </c>
      <c r="X85">
        <v>118.7</v>
      </c>
      <c r="Y85">
        <v>119.7</v>
      </c>
      <c r="Z85">
        <v>117.1</v>
      </c>
      <c r="AA85">
        <v>110.1</v>
      </c>
      <c r="AB85">
        <v>115.9</v>
      </c>
      <c r="AC85">
        <v>121</v>
      </c>
      <c r="AD85">
        <v>111.7</v>
      </c>
      <c r="AE85">
        <v>115.1</v>
      </c>
      <c r="AF85">
        <v>120.7</v>
      </c>
      <c r="AG85" s="2">
        <f>AVERAGE(All_India_Index_Upto_April23[[#This Row],[Food]:[General index]])</f>
        <v>176.57142857142858</v>
      </c>
      <c r="AH85" s="7">
        <f>DATE(All_India_Index_Upto_April23[[#This Row],[Year]],MONTH(1&amp;TRIM(All_India_Index_Upto_April23[[#This Row],[Month]])),1)</f>
        <v>42095</v>
      </c>
    </row>
    <row r="86" spans="1:34" x14ac:dyDescent="0.3">
      <c r="A86">
        <v>85</v>
      </c>
      <c r="B86" s="1" t="s">
        <v>18</v>
      </c>
      <c r="C86">
        <v>2015</v>
      </c>
      <c r="D86" s="1" t="s">
        <v>38</v>
      </c>
      <c r="E86" s="2">
        <v>1714.4</v>
      </c>
      <c r="F86">
        <v>123.5</v>
      </c>
      <c r="G86">
        <v>127.1</v>
      </c>
      <c r="H86">
        <v>117.3</v>
      </c>
      <c r="I86">
        <v>127.7</v>
      </c>
      <c r="J86">
        <v>112.5</v>
      </c>
      <c r="K86">
        <v>134.1</v>
      </c>
      <c r="L86">
        <v>128.5</v>
      </c>
      <c r="M86">
        <v>124.3</v>
      </c>
      <c r="N86">
        <v>97.6</v>
      </c>
      <c r="O86">
        <v>120.7</v>
      </c>
      <c r="P86">
        <v>120.2</v>
      </c>
      <c r="Q86">
        <v>129.80000000000001</v>
      </c>
      <c r="R86">
        <v>124.4</v>
      </c>
      <c r="S86">
        <v>126.7</v>
      </c>
      <c r="T86">
        <v>127.3</v>
      </c>
      <c r="U86">
        <v>124.1</v>
      </c>
      <c r="V86">
        <v>126.8</v>
      </c>
      <c r="W86" s="1">
        <v>139.12</v>
      </c>
      <c r="X86">
        <v>121.9</v>
      </c>
      <c r="Y86">
        <v>121.5</v>
      </c>
      <c r="Z86">
        <v>119.4</v>
      </c>
      <c r="AA86">
        <v>113.3</v>
      </c>
      <c r="AB86">
        <v>116.7</v>
      </c>
      <c r="AC86">
        <v>120.5</v>
      </c>
      <c r="AD86">
        <v>112.3</v>
      </c>
      <c r="AE86">
        <v>116.9</v>
      </c>
      <c r="AF86">
        <v>122.4</v>
      </c>
      <c r="AG86" s="2">
        <f>AVERAGE(All_India_Index_Upto_April23[[#This Row],[Food]:[General index]])</f>
        <v>178.96499999999997</v>
      </c>
      <c r="AH86" s="7">
        <f>DATE(All_India_Index_Upto_April23[[#This Row],[Year]],MONTH(1&amp;TRIM(All_India_Index_Upto_April23[[#This Row],[Month]])),1)</f>
        <v>42125</v>
      </c>
    </row>
    <row r="87" spans="1:34" x14ac:dyDescent="0.3">
      <c r="A87">
        <v>86</v>
      </c>
      <c r="B87" s="1" t="s">
        <v>33</v>
      </c>
      <c r="C87">
        <v>2015</v>
      </c>
      <c r="D87" s="1" t="s">
        <v>38</v>
      </c>
      <c r="E87" s="2">
        <v>1730.2</v>
      </c>
      <c r="F87">
        <v>123.8</v>
      </c>
      <c r="G87">
        <v>129.69999999999999</v>
      </c>
      <c r="H87">
        <v>111.3</v>
      </c>
      <c r="I87">
        <v>126.6</v>
      </c>
      <c r="J87">
        <v>105.2</v>
      </c>
      <c r="K87">
        <v>130.80000000000001</v>
      </c>
      <c r="L87">
        <v>135.6</v>
      </c>
      <c r="M87">
        <v>142.6</v>
      </c>
      <c r="N87">
        <v>90.8</v>
      </c>
      <c r="O87">
        <v>128.80000000000001</v>
      </c>
      <c r="P87">
        <v>117.7</v>
      </c>
      <c r="Q87">
        <v>129.9</v>
      </c>
      <c r="R87">
        <v>126.1</v>
      </c>
      <c r="S87">
        <v>131.30000000000001</v>
      </c>
      <c r="T87">
        <v>122.4</v>
      </c>
      <c r="U87">
        <v>117.4</v>
      </c>
      <c r="V87">
        <v>121.6</v>
      </c>
      <c r="W87" s="1">
        <v>119.6</v>
      </c>
      <c r="X87">
        <v>114.9</v>
      </c>
      <c r="Y87">
        <v>118.7</v>
      </c>
      <c r="Z87">
        <v>114.9</v>
      </c>
      <c r="AA87">
        <v>110.8</v>
      </c>
      <c r="AB87">
        <v>116</v>
      </c>
      <c r="AC87">
        <v>122</v>
      </c>
      <c r="AD87">
        <v>112.4</v>
      </c>
      <c r="AE87">
        <v>115.2</v>
      </c>
      <c r="AF87">
        <v>120.7</v>
      </c>
      <c r="AG87" s="2">
        <f>AVERAGE(All_India_Index_Upto_April23[[#This Row],[Food]:[General index]])</f>
        <v>178.10714285714283</v>
      </c>
      <c r="AH87" s="7">
        <f>DATE(All_India_Index_Upto_April23[[#This Row],[Year]],MONTH(1&amp;TRIM(All_India_Index_Upto_April23[[#This Row],[Month]])),1)</f>
        <v>42125</v>
      </c>
    </row>
    <row r="88" spans="1:34" x14ac:dyDescent="0.3">
      <c r="A88">
        <v>87</v>
      </c>
      <c r="B88" s="1" t="s">
        <v>34</v>
      </c>
      <c r="C88">
        <v>2015</v>
      </c>
      <c r="D88" s="1" t="s">
        <v>38</v>
      </c>
      <c r="E88" s="2">
        <v>1718.3000000000002</v>
      </c>
      <c r="F88">
        <v>123.6</v>
      </c>
      <c r="G88">
        <v>128</v>
      </c>
      <c r="H88">
        <v>115</v>
      </c>
      <c r="I88">
        <v>127.3</v>
      </c>
      <c r="J88">
        <v>109.8</v>
      </c>
      <c r="K88">
        <v>132.6</v>
      </c>
      <c r="L88">
        <v>130.9</v>
      </c>
      <c r="M88">
        <v>130.5</v>
      </c>
      <c r="N88">
        <v>95.3</v>
      </c>
      <c r="O88">
        <v>123.4</v>
      </c>
      <c r="P88">
        <v>119.2</v>
      </c>
      <c r="Q88">
        <v>129.80000000000001</v>
      </c>
      <c r="R88">
        <v>125</v>
      </c>
      <c r="S88">
        <v>127.9</v>
      </c>
      <c r="T88">
        <v>125.4</v>
      </c>
      <c r="U88">
        <v>121.3</v>
      </c>
      <c r="V88">
        <v>124.7</v>
      </c>
      <c r="W88" s="1">
        <v>119.6</v>
      </c>
      <c r="X88">
        <v>119.2</v>
      </c>
      <c r="Y88">
        <v>120.2</v>
      </c>
      <c r="Z88">
        <v>117.7</v>
      </c>
      <c r="AA88">
        <v>112</v>
      </c>
      <c r="AB88">
        <v>116.3</v>
      </c>
      <c r="AC88">
        <v>121.4</v>
      </c>
      <c r="AD88">
        <v>112.3</v>
      </c>
      <c r="AE88">
        <v>116.1</v>
      </c>
      <c r="AF88">
        <v>121.6</v>
      </c>
      <c r="AG88" s="2">
        <f>AVERAGE(All_India_Index_Upto_April23[[#This Row],[Food]:[General index]])</f>
        <v>178.01428571428576</v>
      </c>
      <c r="AH88" s="7">
        <f>DATE(All_India_Index_Upto_April23[[#This Row],[Year]],MONTH(1&amp;TRIM(All_India_Index_Upto_April23[[#This Row],[Month]])),1)</f>
        <v>42125</v>
      </c>
    </row>
    <row r="89" spans="1:34" x14ac:dyDescent="0.3">
      <c r="A89">
        <v>88</v>
      </c>
      <c r="B89" s="1" t="s">
        <v>18</v>
      </c>
      <c r="C89">
        <v>2015</v>
      </c>
      <c r="D89" s="1" t="s">
        <v>39</v>
      </c>
      <c r="E89" s="2">
        <v>1746.1</v>
      </c>
      <c r="F89">
        <v>124.1</v>
      </c>
      <c r="G89">
        <v>130.4</v>
      </c>
      <c r="H89">
        <v>122.1</v>
      </c>
      <c r="I89">
        <v>128.69999999999999</v>
      </c>
      <c r="J89">
        <v>114.1</v>
      </c>
      <c r="K89">
        <v>133.19999999999999</v>
      </c>
      <c r="L89">
        <v>135.19999999999999</v>
      </c>
      <c r="M89">
        <v>131.9</v>
      </c>
      <c r="N89">
        <v>96.3</v>
      </c>
      <c r="O89">
        <v>123</v>
      </c>
      <c r="P89">
        <v>121.1</v>
      </c>
      <c r="Q89">
        <v>131.19999999999999</v>
      </c>
      <c r="R89">
        <v>126.6</v>
      </c>
      <c r="S89">
        <v>128.19999999999999</v>
      </c>
      <c r="T89">
        <v>128.4</v>
      </c>
      <c r="U89">
        <v>125.1</v>
      </c>
      <c r="V89">
        <v>128</v>
      </c>
      <c r="W89" s="1">
        <v>139.12</v>
      </c>
      <c r="X89">
        <v>122.6</v>
      </c>
      <c r="Y89">
        <v>122.8</v>
      </c>
      <c r="Z89">
        <v>120.4</v>
      </c>
      <c r="AA89">
        <v>114.2</v>
      </c>
      <c r="AB89">
        <v>117.9</v>
      </c>
      <c r="AC89">
        <v>122</v>
      </c>
      <c r="AD89">
        <v>113</v>
      </c>
      <c r="AE89">
        <v>117.9</v>
      </c>
      <c r="AF89">
        <v>124.1</v>
      </c>
      <c r="AG89" s="2">
        <f>AVERAGE(All_India_Index_Upto_April23[[#This Row],[Food]:[General index]])</f>
        <v>181.70428571428565</v>
      </c>
      <c r="AH89" s="7">
        <f>DATE(All_India_Index_Upto_April23[[#This Row],[Year]],MONTH(1&amp;TRIM(All_India_Index_Upto_April23[[#This Row],[Month]])),1)</f>
        <v>42156</v>
      </c>
    </row>
    <row r="90" spans="1:34" x14ac:dyDescent="0.3">
      <c r="A90">
        <v>89</v>
      </c>
      <c r="B90" s="1" t="s">
        <v>33</v>
      </c>
      <c r="C90">
        <v>2015</v>
      </c>
      <c r="D90" s="1" t="s">
        <v>39</v>
      </c>
      <c r="E90" s="2">
        <v>1768.6999999999998</v>
      </c>
      <c r="F90">
        <v>123.6</v>
      </c>
      <c r="G90">
        <v>134.4</v>
      </c>
      <c r="H90">
        <v>120.9</v>
      </c>
      <c r="I90">
        <v>127.3</v>
      </c>
      <c r="J90">
        <v>106</v>
      </c>
      <c r="K90">
        <v>132.30000000000001</v>
      </c>
      <c r="L90">
        <v>146.69999999999999</v>
      </c>
      <c r="M90">
        <v>148.1</v>
      </c>
      <c r="N90">
        <v>89.8</v>
      </c>
      <c r="O90">
        <v>130.5</v>
      </c>
      <c r="P90">
        <v>118</v>
      </c>
      <c r="Q90">
        <v>130.5</v>
      </c>
      <c r="R90">
        <v>128.5</v>
      </c>
      <c r="S90">
        <v>132.1</v>
      </c>
      <c r="T90">
        <v>123.2</v>
      </c>
      <c r="U90">
        <v>117.6</v>
      </c>
      <c r="V90">
        <v>122.3</v>
      </c>
      <c r="W90" s="1">
        <v>119</v>
      </c>
      <c r="X90">
        <v>115.1</v>
      </c>
      <c r="Y90">
        <v>119.2</v>
      </c>
      <c r="Z90">
        <v>115.4</v>
      </c>
      <c r="AA90">
        <v>111.7</v>
      </c>
      <c r="AB90">
        <v>116.2</v>
      </c>
      <c r="AC90">
        <v>123.8</v>
      </c>
      <c r="AD90">
        <v>112.5</v>
      </c>
      <c r="AE90">
        <v>116</v>
      </c>
      <c r="AF90">
        <v>121.7</v>
      </c>
      <c r="AG90" s="2">
        <f>AVERAGE(All_India_Index_Upto_April23[[#This Row],[Food]:[General index]])</f>
        <v>181.11071428571427</v>
      </c>
      <c r="AH90" s="7">
        <f>DATE(All_India_Index_Upto_April23[[#This Row],[Year]],MONTH(1&amp;TRIM(All_India_Index_Upto_April23[[#This Row],[Month]])),1)</f>
        <v>42156</v>
      </c>
    </row>
    <row r="91" spans="1:34" x14ac:dyDescent="0.3">
      <c r="A91">
        <v>90</v>
      </c>
      <c r="B91" s="1" t="s">
        <v>34</v>
      </c>
      <c r="C91">
        <v>2015</v>
      </c>
      <c r="D91" s="1" t="s">
        <v>39</v>
      </c>
      <c r="E91" s="2">
        <v>1752.7</v>
      </c>
      <c r="F91">
        <v>123.9</v>
      </c>
      <c r="G91">
        <v>131.80000000000001</v>
      </c>
      <c r="H91">
        <v>121.6</v>
      </c>
      <c r="I91">
        <v>128.19999999999999</v>
      </c>
      <c r="J91">
        <v>111.1</v>
      </c>
      <c r="K91">
        <v>132.80000000000001</v>
      </c>
      <c r="L91">
        <v>139.1</v>
      </c>
      <c r="M91">
        <v>137.4</v>
      </c>
      <c r="N91">
        <v>94.1</v>
      </c>
      <c r="O91">
        <v>125.5</v>
      </c>
      <c r="P91">
        <v>119.8</v>
      </c>
      <c r="Q91">
        <v>130.9</v>
      </c>
      <c r="R91">
        <v>127.3</v>
      </c>
      <c r="S91">
        <v>129.19999999999999</v>
      </c>
      <c r="T91">
        <v>126.4</v>
      </c>
      <c r="U91">
        <v>122</v>
      </c>
      <c r="V91">
        <v>125.7</v>
      </c>
      <c r="W91" s="1">
        <v>119</v>
      </c>
      <c r="X91">
        <v>119.8</v>
      </c>
      <c r="Y91">
        <v>121.1</v>
      </c>
      <c r="Z91">
        <v>118.5</v>
      </c>
      <c r="AA91">
        <v>112.9</v>
      </c>
      <c r="AB91">
        <v>116.9</v>
      </c>
      <c r="AC91">
        <v>123.1</v>
      </c>
      <c r="AD91">
        <v>112.8</v>
      </c>
      <c r="AE91">
        <v>117</v>
      </c>
      <c r="AF91">
        <v>123</v>
      </c>
      <c r="AG91" s="2">
        <f>AVERAGE(All_India_Index_Upto_April23[[#This Row],[Food]:[General index]])</f>
        <v>180.84285714285716</v>
      </c>
      <c r="AH91" s="7">
        <f>DATE(All_India_Index_Upto_April23[[#This Row],[Year]],MONTH(1&amp;TRIM(All_India_Index_Upto_April23[[#This Row],[Month]])),1)</f>
        <v>42156</v>
      </c>
    </row>
    <row r="92" spans="1:34" x14ac:dyDescent="0.3">
      <c r="A92">
        <v>91</v>
      </c>
      <c r="B92" s="1" t="s">
        <v>18</v>
      </c>
      <c r="C92">
        <v>2015</v>
      </c>
      <c r="D92" s="1" t="s">
        <v>40</v>
      </c>
      <c r="E92" s="2">
        <v>1754.7</v>
      </c>
      <c r="F92">
        <v>124</v>
      </c>
      <c r="G92">
        <v>131.5</v>
      </c>
      <c r="H92">
        <v>122</v>
      </c>
      <c r="I92">
        <v>128.69999999999999</v>
      </c>
      <c r="J92">
        <v>113.5</v>
      </c>
      <c r="K92">
        <v>133.30000000000001</v>
      </c>
      <c r="L92">
        <v>140.80000000000001</v>
      </c>
      <c r="M92">
        <v>133.80000000000001</v>
      </c>
      <c r="N92">
        <v>94.1</v>
      </c>
      <c r="O92">
        <v>123.4</v>
      </c>
      <c r="P92">
        <v>121</v>
      </c>
      <c r="Q92">
        <v>131.69999999999999</v>
      </c>
      <c r="R92">
        <v>127.5</v>
      </c>
      <c r="S92">
        <v>129.4</v>
      </c>
      <c r="T92">
        <v>128.80000000000001</v>
      </c>
      <c r="U92">
        <v>125.5</v>
      </c>
      <c r="V92">
        <v>128.30000000000001</v>
      </c>
      <c r="W92" s="1">
        <v>139.12</v>
      </c>
      <c r="X92">
        <v>123</v>
      </c>
      <c r="Y92">
        <v>123</v>
      </c>
      <c r="Z92">
        <v>120.8</v>
      </c>
      <c r="AA92">
        <v>114.1</v>
      </c>
      <c r="AB92">
        <v>118</v>
      </c>
      <c r="AC92">
        <v>122.9</v>
      </c>
      <c r="AD92">
        <v>112.7</v>
      </c>
      <c r="AE92">
        <v>118.1</v>
      </c>
      <c r="AF92">
        <v>124.7</v>
      </c>
      <c r="AG92" s="2">
        <f>AVERAGE(All_India_Index_Upto_April23[[#This Row],[Food]:[General index]])</f>
        <v>182.44357142857146</v>
      </c>
      <c r="AH92" s="7">
        <f>DATE(All_India_Index_Upto_April23[[#This Row],[Year]],MONTH(1&amp;TRIM(All_India_Index_Upto_April23[[#This Row],[Month]])),1)</f>
        <v>42186</v>
      </c>
    </row>
    <row r="93" spans="1:34" x14ac:dyDescent="0.3">
      <c r="A93">
        <v>92</v>
      </c>
      <c r="B93" s="1" t="s">
        <v>33</v>
      </c>
      <c r="C93">
        <v>2015</v>
      </c>
      <c r="D93" s="1" t="s">
        <v>40</v>
      </c>
      <c r="E93" s="2">
        <v>1775.9999999999998</v>
      </c>
      <c r="F93">
        <v>123.2</v>
      </c>
      <c r="G93">
        <v>134.30000000000001</v>
      </c>
      <c r="H93">
        <v>119.5</v>
      </c>
      <c r="I93">
        <v>127.7</v>
      </c>
      <c r="J93">
        <v>106.3</v>
      </c>
      <c r="K93">
        <v>132.80000000000001</v>
      </c>
      <c r="L93">
        <v>153.5</v>
      </c>
      <c r="M93">
        <v>149.5</v>
      </c>
      <c r="N93">
        <v>85.7</v>
      </c>
      <c r="O93">
        <v>131.5</v>
      </c>
      <c r="P93">
        <v>118.3</v>
      </c>
      <c r="Q93">
        <v>131.1</v>
      </c>
      <c r="R93">
        <v>129.5</v>
      </c>
      <c r="S93">
        <v>133.1</v>
      </c>
      <c r="T93">
        <v>123.5</v>
      </c>
      <c r="U93">
        <v>117.9</v>
      </c>
      <c r="V93">
        <v>122.7</v>
      </c>
      <c r="W93" s="1">
        <v>119.9</v>
      </c>
      <c r="X93">
        <v>115.3</v>
      </c>
      <c r="Y93">
        <v>119.5</v>
      </c>
      <c r="Z93">
        <v>116</v>
      </c>
      <c r="AA93">
        <v>111.5</v>
      </c>
      <c r="AB93">
        <v>116.6</v>
      </c>
      <c r="AC93">
        <v>125.4</v>
      </c>
      <c r="AD93">
        <v>111.7</v>
      </c>
      <c r="AE93">
        <v>116.3</v>
      </c>
      <c r="AF93">
        <v>122.4</v>
      </c>
      <c r="AG93" s="2">
        <f>AVERAGE(All_India_Index_Upto_April23[[#This Row],[Food]:[General index]])</f>
        <v>181.81071428571428</v>
      </c>
      <c r="AH93" s="7">
        <f>DATE(All_India_Index_Upto_April23[[#This Row],[Year]],MONTH(1&amp;TRIM(All_India_Index_Upto_April23[[#This Row],[Month]])),1)</f>
        <v>42186</v>
      </c>
    </row>
    <row r="94" spans="1:34" x14ac:dyDescent="0.3">
      <c r="A94">
        <v>93</v>
      </c>
      <c r="B94" s="1" t="s">
        <v>34</v>
      </c>
      <c r="C94">
        <v>2015</v>
      </c>
      <c r="D94" s="1" t="s">
        <v>40</v>
      </c>
      <c r="E94" s="2">
        <v>1761.0000000000002</v>
      </c>
      <c r="F94">
        <v>123.7</v>
      </c>
      <c r="G94">
        <v>132.5</v>
      </c>
      <c r="H94">
        <v>121</v>
      </c>
      <c r="I94">
        <v>128.30000000000001</v>
      </c>
      <c r="J94">
        <v>110.9</v>
      </c>
      <c r="K94">
        <v>133.1</v>
      </c>
      <c r="L94">
        <v>145.1</v>
      </c>
      <c r="M94">
        <v>139.1</v>
      </c>
      <c r="N94">
        <v>91.3</v>
      </c>
      <c r="O94">
        <v>126.1</v>
      </c>
      <c r="P94">
        <v>119.9</v>
      </c>
      <c r="Q94">
        <v>131.4</v>
      </c>
      <c r="R94">
        <v>128.19999999999999</v>
      </c>
      <c r="S94">
        <v>130.4</v>
      </c>
      <c r="T94">
        <v>126.7</v>
      </c>
      <c r="U94">
        <v>122.3</v>
      </c>
      <c r="V94">
        <v>126.1</v>
      </c>
      <c r="W94" s="1">
        <v>119.9</v>
      </c>
      <c r="X94">
        <v>120.1</v>
      </c>
      <c r="Y94">
        <v>121.3</v>
      </c>
      <c r="Z94">
        <v>119</v>
      </c>
      <c r="AA94">
        <v>112.7</v>
      </c>
      <c r="AB94">
        <v>117.2</v>
      </c>
      <c r="AC94">
        <v>124.4</v>
      </c>
      <c r="AD94">
        <v>112.3</v>
      </c>
      <c r="AE94">
        <v>117.2</v>
      </c>
      <c r="AF94">
        <v>123.6</v>
      </c>
      <c r="AG94" s="2">
        <f>AVERAGE(All_India_Index_Upto_April23[[#This Row],[Food]:[General index]])</f>
        <v>181.6</v>
      </c>
      <c r="AH94" s="7">
        <f>DATE(All_India_Index_Upto_April23[[#This Row],[Year]],MONTH(1&amp;TRIM(All_India_Index_Upto_April23[[#This Row],[Month]])),1)</f>
        <v>42186</v>
      </c>
    </row>
    <row r="95" spans="1:34" x14ac:dyDescent="0.3">
      <c r="A95">
        <v>94</v>
      </c>
      <c r="B95" s="1" t="s">
        <v>18</v>
      </c>
      <c r="C95">
        <v>2015</v>
      </c>
      <c r="D95" s="1" t="s">
        <v>41</v>
      </c>
      <c r="E95" s="2">
        <v>1776.6999999999998</v>
      </c>
      <c r="F95">
        <v>124.7</v>
      </c>
      <c r="G95">
        <v>131.30000000000001</v>
      </c>
      <c r="H95">
        <v>121.3</v>
      </c>
      <c r="I95">
        <v>128.80000000000001</v>
      </c>
      <c r="J95">
        <v>114</v>
      </c>
      <c r="K95">
        <v>134.19999999999999</v>
      </c>
      <c r="L95">
        <v>153.6</v>
      </c>
      <c r="M95">
        <v>137.9</v>
      </c>
      <c r="N95">
        <v>93.1</v>
      </c>
      <c r="O95">
        <v>123.9</v>
      </c>
      <c r="P95">
        <v>121.5</v>
      </c>
      <c r="Q95">
        <v>132.5</v>
      </c>
      <c r="R95">
        <v>129.80000000000001</v>
      </c>
      <c r="S95">
        <v>130.1</v>
      </c>
      <c r="T95">
        <v>129.5</v>
      </c>
      <c r="U95">
        <v>126.3</v>
      </c>
      <c r="V95">
        <v>129</v>
      </c>
      <c r="W95" s="1">
        <v>139.12</v>
      </c>
      <c r="X95">
        <v>123.8</v>
      </c>
      <c r="Y95">
        <v>123.7</v>
      </c>
      <c r="Z95">
        <v>121.1</v>
      </c>
      <c r="AA95">
        <v>113.6</v>
      </c>
      <c r="AB95">
        <v>118.5</v>
      </c>
      <c r="AC95">
        <v>123.6</v>
      </c>
      <c r="AD95">
        <v>112.5</v>
      </c>
      <c r="AE95">
        <v>118.2</v>
      </c>
      <c r="AF95">
        <v>126.1</v>
      </c>
      <c r="AG95" s="2">
        <f>AVERAGE(All_India_Index_Upto_April23[[#This Row],[Food]:[General index]])</f>
        <v>184.22928571428574</v>
      </c>
      <c r="AH95" s="7">
        <f>DATE(All_India_Index_Upto_April23[[#This Row],[Year]],MONTH(1&amp;TRIM(All_India_Index_Upto_April23[[#This Row],[Month]])),1)</f>
        <v>42217</v>
      </c>
    </row>
    <row r="96" spans="1:34" x14ac:dyDescent="0.3">
      <c r="A96">
        <v>95</v>
      </c>
      <c r="B96" s="1" t="s">
        <v>33</v>
      </c>
      <c r="C96">
        <v>2015</v>
      </c>
      <c r="D96" s="1" t="s">
        <v>41</v>
      </c>
      <c r="E96" s="2">
        <v>1793.1</v>
      </c>
      <c r="F96">
        <v>123.1</v>
      </c>
      <c r="G96">
        <v>131.69999999999999</v>
      </c>
      <c r="H96">
        <v>118.1</v>
      </c>
      <c r="I96">
        <v>128</v>
      </c>
      <c r="J96">
        <v>106.8</v>
      </c>
      <c r="K96">
        <v>130.1</v>
      </c>
      <c r="L96">
        <v>165.5</v>
      </c>
      <c r="M96">
        <v>156</v>
      </c>
      <c r="N96">
        <v>85.3</v>
      </c>
      <c r="O96">
        <v>132.69999999999999</v>
      </c>
      <c r="P96">
        <v>118.8</v>
      </c>
      <c r="Q96">
        <v>131.69999999999999</v>
      </c>
      <c r="R96">
        <v>131.1</v>
      </c>
      <c r="S96">
        <v>134.19999999999999</v>
      </c>
      <c r="T96">
        <v>123.7</v>
      </c>
      <c r="U96">
        <v>118.2</v>
      </c>
      <c r="V96">
        <v>122.9</v>
      </c>
      <c r="W96" s="1">
        <v>120.9</v>
      </c>
      <c r="X96">
        <v>115.3</v>
      </c>
      <c r="Y96">
        <v>120</v>
      </c>
      <c r="Z96">
        <v>116.6</v>
      </c>
      <c r="AA96">
        <v>109.9</v>
      </c>
      <c r="AB96">
        <v>117.2</v>
      </c>
      <c r="AC96">
        <v>126.2</v>
      </c>
      <c r="AD96">
        <v>112</v>
      </c>
      <c r="AE96">
        <v>116.2</v>
      </c>
      <c r="AF96">
        <v>123.2</v>
      </c>
      <c r="AG96" s="2">
        <f>AVERAGE(All_India_Index_Upto_April23[[#This Row],[Food]:[General index]])</f>
        <v>183.16071428571425</v>
      </c>
      <c r="AH96" s="7">
        <f>DATE(All_India_Index_Upto_April23[[#This Row],[Year]],MONTH(1&amp;TRIM(All_India_Index_Upto_April23[[#This Row],[Month]])),1)</f>
        <v>42217</v>
      </c>
    </row>
    <row r="97" spans="1:34" x14ac:dyDescent="0.3">
      <c r="A97">
        <v>96</v>
      </c>
      <c r="B97" s="1" t="s">
        <v>34</v>
      </c>
      <c r="C97">
        <v>2015</v>
      </c>
      <c r="D97" s="1" t="s">
        <v>41</v>
      </c>
      <c r="E97" s="2">
        <v>1780.8</v>
      </c>
      <c r="F97">
        <v>124.2</v>
      </c>
      <c r="G97">
        <v>131.4</v>
      </c>
      <c r="H97">
        <v>120.1</v>
      </c>
      <c r="I97">
        <v>128.5</v>
      </c>
      <c r="J97">
        <v>111.4</v>
      </c>
      <c r="K97">
        <v>132.30000000000001</v>
      </c>
      <c r="L97">
        <v>157.6</v>
      </c>
      <c r="M97">
        <v>144</v>
      </c>
      <c r="N97">
        <v>90.5</v>
      </c>
      <c r="O97">
        <v>126.8</v>
      </c>
      <c r="P97">
        <v>120.4</v>
      </c>
      <c r="Q97">
        <v>132.1</v>
      </c>
      <c r="R97">
        <v>130.30000000000001</v>
      </c>
      <c r="S97">
        <v>131.19999999999999</v>
      </c>
      <c r="T97">
        <v>127.2</v>
      </c>
      <c r="U97">
        <v>122.9</v>
      </c>
      <c r="V97">
        <v>126.6</v>
      </c>
      <c r="W97" s="1">
        <v>120.9</v>
      </c>
      <c r="X97">
        <v>120.6</v>
      </c>
      <c r="Y97">
        <v>122</v>
      </c>
      <c r="Z97">
        <v>119.4</v>
      </c>
      <c r="AA97">
        <v>111.7</v>
      </c>
      <c r="AB97">
        <v>117.8</v>
      </c>
      <c r="AC97">
        <v>125.1</v>
      </c>
      <c r="AD97">
        <v>112.3</v>
      </c>
      <c r="AE97">
        <v>117.2</v>
      </c>
      <c r="AF97">
        <v>124.8</v>
      </c>
      <c r="AG97" s="2">
        <f>AVERAGE(All_India_Index_Upto_April23[[#This Row],[Food]:[General index]])</f>
        <v>183.21785714285716</v>
      </c>
      <c r="AH97" s="7">
        <f>DATE(All_India_Index_Upto_April23[[#This Row],[Year]],MONTH(1&amp;TRIM(All_India_Index_Upto_April23[[#This Row],[Month]])),1)</f>
        <v>42217</v>
      </c>
    </row>
    <row r="98" spans="1:34" x14ac:dyDescent="0.3">
      <c r="A98">
        <v>97</v>
      </c>
      <c r="B98" s="1" t="s">
        <v>18</v>
      </c>
      <c r="C98">
        <v>2015</v>
      </c>
      <c r="D98" s="1" t="s">
        <v>42</v>
      </c>
      <c r="E98" s="2">
        <v>1788.6000000000001</v>
      </c>
      <c r="F98">
        <v>125.1</v>
      </c>
      <c r="G98">
        <v>131.1</v>
      </c>
      <c r="H98">
        <v>120.7</v>
      </c>
      <c r="I98">
        <v>129.19999999999999</v>
      </c>
      <c r="J98">
        <v>114.7</v>
      </c>
      <c r="K98">
        <v>132.30000000000001</v>
      </c>
      <c r="L98">
        <v>158.9</v>
      </c>
      <c r="M98">
        <v>142.1</v>
      </c>
      <c r="N98">
        <v>92.5</v>
      </c>
      <c r="O98">
        <v>125.4</v>
      </c>
      <c r="P98">
        <v>121.9</v>
      </c>
      <c r="Q98">
        <v>132.69999999999999</v>
      </c>
      <c r="R98">
        <v>131</v>
      </c>
      <c r="S98">
        <v>131</v>
      </c>
      <c r="T98">
        <v>130.4</v>
      </c>
      <c r="U98">
        <v>126.8</v>
      </c>
      <c r="V98">
        <v>129.9</v>
      </c>
      <c r="W98" s="1">
        <v>139.12</v>
      </c>
      <c r="X98">
        <v>123.7</v>
      </c>
      <c r="Y98">
        <v>124.5</v>
      </c>
      <c r="Z98">
        <v>121.4</v>
      </c>
      <c r="AA98">
        <v>113.8</v>
      </c>
      <c r="AB98">
        <v>119.6</v>
      </c>
      <c r="AC98">
        <v>124.5</v>
      </c>
      <c r="AD98">
        <v>113.7</v>
      </c>
      <c r="AE98">
        <v>118.8</v>
      </c>
      <c r="AF98">
        <v>127</v>
      </c>
      <c r="AG98" s="2">
        <f>AVERAGE(All_India_Index_Upto_April23[[#This Row],[Food]:[General index]])</f>
        <v>185.37214285714285</v>
      </c>
      <c r="AH98" s="7">
        <f>DATE(All_India_Index_Upto_April23[[#This Row],[Year]],MONTH(1&amp;TRIM(All_India_Index_Upto_April23[[#This Row],[Month]])),1)</f>
        <v>42248</v>
      </c>
    </row>
    <row r="99" spans="1:34" x14ac:dyDescent="0.3">
      <c r="A99">
        <v>98</v>
      </c>
      <c r="B99" s="1" t="s">
        <v>33</v>
      </c>
      <c r="C99">
        <v>2015</v>
      </c>
      <c r="D99" s="1" t="s">
        <v>42</v>
      </c>
      <c r="E99" s="2">
        <v>1799.5</v>
      </c>
      <c r="F99">
        <v>123.4</v>
      </c>
      <c r="G99">
        <v>129</v>
      </c>
      <c r="H99">
        <v>115.6</v>
      </c>
      <c r="I99">
        <v>128.30000000000001</v>
      </c>
      <c r="J99">
        <v>107</v>
      </c>
      <c r="K99">
        <v>124</v>
      </c>
      <c r="L99">
        <v>168.5</v>
      </c>
      <c r="M99">
        <v>165.4</v>
      </c>
      <c r="N99">
        <v>86.3</v>
      </c>
      <c r="O99">
        <v>134.4</v>
      </c>
      <c r="P99">
        <v>119.1</v>
      </c>
      <c r="Q99">
        <v>132.30000000000001</v>
      </c>
      <c r="R99">
        <v>131.5</v>
      </c>
      <c r="S99">
        <v>134.69999999999999</v>
      </c>
      <c r="T99">
        <v>124</v>
      </c>
      <c r="U99">
        <v>118.6</v>
      </c>
      <c r="V99">
        <v>123.2</v>
      </c>
      <c r="W99" s="1">
        <v>121.6</v>
      </c>
      <c r="X99">
        <v>115.1</v>
      </c>
      <c r="Y99">
        <v>120.4</v>
      </c>
      <c r="Z99">
        <v>117.1</v>
      </c>
      <c r="AA99">
        <v>109.1</v>
      </c>
      <c r="AB99">
        <v>117.3</v>
      </c>
      <c r="AC99">
        <v>126.5</v>
      </c>
      <c r="AD99">
        <v>112.9</v>
      </c>
      <c r="AE99">
        <v>116.2</v>
      </c>
      <c r="AF99">
        <v>123.5</v>
      </c>
      <c r="AG99" s="2">
        <f>AVERAGE(All_India_Index_Upto_April23[[#This Row],[Food]:[General index]])</f>
        <v>183.73214285714286</v>
      </c>
      <c r="AH99" s="7">
        <f>DATE(All_India_Index_Upto_April23[[#This Row],[Year]],MONTH(1&amp;TRIM(All_India_Index_Upto_April23[[#This Row],[Month]])),1)</f>
        <v>42248</v>
      </c>
    </row>
    <row r="100" spans="1:34" x14ac:dyDescent="0.3">
      <c r="A100">
        <v>99</v>
      </c>
      <c r="B100" s="1" t="s">
        <v>34</v>
      </c>
      <c r="C100">
        <v>2015</v>
      </c>
      <c r="D100" s="1" t="s">
        <v>42</v>
      </c>
      <c r="E100" s="2">
        <v>1790.3000000000002</v>
      </c>
      <c r="F100">
        <v>124.6</v>
      </c>
      <c r="G100">
        <v>130.4</v>
      </c>
      <c r="H100">
        <v>118.7</v>
      </c>
      <c r="I100">
        <v>128.9</v>
      </c>
      <c r="J100">
        <v>111.9</v>
      </c>
      <c r="K100">
        <v>128.4</v>
      </c>
      <c r="L100">
        <v>162.19999999999999</v>
      </c>
      <c r="M100">
        <v>150</v>
      </c>
      <c r="N100">
        <v>90.4</v>
      </c>
      <c r="O100">
        <v>128.4</v>
      </c>
      <c r="P100">
        <v>120.7</v>
      </c>
      <c r="Q100">
        <v>132.5</v>
      </c>
      <c r="R100">
        <v>131.19999999999999</v>
      </c>
      <c r="S100">
        <v>132</v>
      </c>
      <c r="T100">
        <v>127.9</v>
      </c>
      <c r="U100">
        <v>123.4</v>
      </c>
      <c r="V100">
        <v>127.2</v>
      </c>
      <c r="W100" s="1">
        <v>121.6</v>
      </c>
      <c r="X100">
        <v>120.4</v>
      </c>
      <c r="Y100">
        <v>122.6</v>
      </c>
      <c r="Z100">
        <v>119.8</v>
      </c>
      <c r="AA100">
        <v>111.3</v>
      </c>
      <c r="AB100">
        <v>118.3</v>
      </c>
      <c r="AC100">
        <v>125.7</v>
      </c>
      <c r="AD100">
        <v>113.4</v>
      </c>
      <c r="AE100">
        <v>117.5</v>
      </c>
      <c r="AF100">
        <v>125.4</v>
      </c>
      <c r="AG100" s="2">
        <f>AVERAGE(All_India_Index_Upto_April23[[#This Row],[Food]:[General index]])</f>
        <v>184.11071428571427</v>
      </c>
      <c r="AH100" s="7">
        <f>DATE(All_India_Index_Upto_April23[[#This Row],[Year]],MONTH(1&amp;TRIM(All_India_Index_Upto_April23[[#This Row],[Month]])),1)</f>
        <v>42248</v>
      </c>
    </row>
    <row r="101" spans="1:34" x14ac:dyDescent="0.3">
      <c r="A101">
        <v>100</v>
      </c>
      <c r="B101" s="1" t="s">
        <v>18</v>
      </c>
      <c r="C101">
        <v>2015</v>
      </c>
      <c r="D101" s="1" t="s">
        <v>43</v>
      </c>
      <c r="E101" s="2">
        <v>1806.1</v>
      </c>
      <c r="F101">
        <v>125.6</v>
      </c>
      <c r="G101">
        <v>130.4</v>
      </c>
      <c r="H101">
        <v>120.8</v>
      </c>
      <c r="I101">
        <v>129.4</v>
      </c>
      <c r="J101">
        <v>115.8</v>
      </c>
      <c r="K101">
        <v>133.19999999999999</v>
      </c>
      <c r="L101">
        <v>157.69999999999999</v>
      </c>
      <c r="M101">
        <v>154.19999999999999</v>
      </c>
      <c r="N101">
        <v>93.7</v>
      </c>
      <c r="O101">
        <v>126.6</v>
      </c>
      <c r="P101">
        <v>122.3</v>
      </c>
      <c r="Q101">
        <v>133.1</v>
      </c>
      <c r="R101">
        <v>131.80000000000001</v>
      </c>
      <c r="S101">
        <v>131.5</v>
      </c>
      <c r="T101">
        <v>131.1</v>
      </c>
      <c r="U101">
        <v>127.3</v>
      </c>
      <c r="V101">
        <v>130.6</v>
      </c>
      <c r="W101" s="1">
        <v>139.12</v>
      </c>
      <c r="X101">
        <v>124.4</v>
      </c>
      <c r="Y101">
        <v>125.1</v>
      </c>
      <c r="Z101">
        <v>122</v>
      </c>
      <c r="AA101">
        <v>113.8</v>
      </c>
      <c r="AB101">
        <v>120.1</v>
      </c>
      <c r="AC101">
        <v>125.1</v>
      </c>
      <c r="AD101">
        <v>114.2</v>
      </c>
      <c r="AE101">
        <v>119.2</v>
      </c>
      <c r="AF101">
        <v>127.7</v>
      </c>
      <c r="AG101" s="2">
        <f>AVERAGE(All_India_Index_Upto_April23[[#This Row],[Food]:[General index]])</f>
        <v>186.85428571428571</v>
      </c>
      <c r="AH101" s="7">
        <f>DATE(All_India_Index_Upto_April23[[#This Row],[Year]],MONTH(1&amp;TRIM(All_India_Index_Upto_April23[[#This Row],[Month]])),1)</f>
        <v>42278</v>
      </c>
    </row>
    <row r="102" spans="1:34" x14ac:dyDescent="0.3">
      <c r="A102">
        <v>101</v>
      </c>
      <c r="B102" s="1" t="s">
        <v>33</v>
      </c>
      <c r="C102">
        <v>2015</v>
      </c>
      <c r="D102" s="1" t="s">
        <v>43</v>
      </c>
      <c r="E102" s="2">
        <v>1828.1000000000001</v>
      </c>
      <c r="F102">
        <v>123.6</v>
      </c>
      <c r="G102">
        <v>128.6</v>
      </c>
      <c r="H102">
        <v>115.9</v>
      </c>
      <c r="I102">
        <v>128.5</v>
      </c>
      <c r="J102">
        <v>109</v>
      </c>
      <c r="K102">
        <v>124.1</v>
      </c>
      <c r="L102">
        <v>165.8</v>
      </c>
      <c r="M102">
        <v>187.2</v>
      </c>
      <c r="N102">
        <v>89.4</v>
      </c>
      <c r="O102">
        <v>135.80000000000001</v>
      </c>
      <c r="P102">
        <v>119.4</v>
      </c>
      <c r="Q102">
        <v>132.9</v>
      </c>
      <c r="R102">
        <v>132.6</v>
      </c>
      <c r="S102">
        <v>135.30000000000001</v>
      </c>
      <c r="T102">
        <v>124.4</v>
      </c>
      <c r="U102">
        <v>118.8</v>
      </c>
      <c r="V102">
        <v>123.6</v>
      </c>
      <c r="W102" s="1">
        <v>122.4</v>
      </c>
      <c r="X102">
        <v>114.9</v>
      </c>
      <c r="Y102">
        <v>120.7</v>
      </c>
      <c r="Z102">
        <v>117.7</v>
      </c>
      <c r="AA102">
        <v>109.3</v>
      </c>
      <c r="AB102">
        <v>117.7</v>
      </c>
      <c r="AC102">
        <v>126.5</v>
      </c>
      <c r="AD102">
        <v>113.5</v>
      </c>
      <c r="AE102">
        <v>116.5</v>
      </c>
      <c r="AF102">
        <v>124.2</v>
      </c>
      <c r="AG102" s="2">
        <f>AVERAGE(All_India_Index_Upto_April23[[#This Row],[Food]:[General index]])</f>
        <v>185.94285714285712</v>
      </c>
      <c r="AH102" s="7">
        <f>DATE(All_India_Index_Upto_April23[[#This Row],[Year]],MONTH(1&amp;TRIM(All_India_Index_Upto_April23[[#This Row],[Month]])),1)</f>
        <v>42278</v>
      </c>
    </row>
    <row r="103" spans="1:34" x14ac:dyDescent="0.3">
      <c r="A103">
        <v>102</v>
      </c>
      <c r="B103" s="1" t="s">
        <v>34</v>
      </c>
      <c r="C103">
        <v>2015</v>
      </c>
      <c r="D103" s="1" t="s">
        <v>43</v>
      </c>
      <c r="E103" s="2">
        <v>1811.4999999999998</v>
      </c>
      <c r="F103">
        <v>125</v>
      </c>
      <c r="G103">
        <v>129.80000000000001</v>
      </c>
      <c r="H103">
        <v>118.9</v>
      </c>
      <c r="I103">
        <v>129.1</v>
      </c>
      <c r="J103">
        <v>113.3</v>
      </c>
      <c r="K103">
        <v>129</v>
      </c>
      <c r="L103">
        <v>160.4</v>
      </c>
      <c r="M103">
        <v>165.3</v>
      </c>
      <c r="N103">
        <v>92.3</v>
      </c>
      <c r="O103">
        <v>129.69999999999999</v>
      </c>
      <c r="P103">
        <v>121.1</v>
      </c>
      <c r="Q103">
        <v>133</v>
      </c>
      <c r="R103">
        <v>132.1</v>
      </c>
      <c r="S103">
        <v>132.5</v>
      </c>
      <c r="T103">
        <v>128.5</v>
      </c>
      <c r="U103">
        <v>123.8</v>
      </c>
      <c r="V103">
        <v>127.8</v>
      </c>
      <c r="W103" s="1">
        <v>122.4</v>
      </c>
      <c r="X103">
        <v>120.8</v>
      </c>
      <c r="Y103">
        <v>123</v>
      </c>
      <c r="Z103">
        <v>120.4</v>
      </c>
      <c r="AA103">
        <v>111.4</v>
      </c>
      <c r="AB103">
        <v>118.7</v>
      </c>
      <c r="AC103">
        <v>125.9</v>
      </c>
      <c r="AD103">
        <v>113.9</v>
      </c>
      <c r="AE103">
        <v>117.9</v>
      </c>
      <c r="AF103">
        <v>126.1</v>
      </c>
      <c r="AG103" s="2">
        <f>AVERAGE(All_India_Index_Upto_April23[[#This Row],[Food]:[General index]])</f>
        <v>185.8428571428571</v>
      </c>
      <c r="AH103" s="7">
        <f>DATE(All_India_Index_Upto_April23[[#This Row],[Year]],MONTH(1&amp;TRIM(All_India_Index_Upto_April23[[#This Row],[Month]])),1)</f>
        <v>42278</v>
      </c>
    </row>
    <row r="104" spans="1:34" x14ac:dyDescent="0.3">
      <c r="A104">
        <v>103</v>
      </c>
      <c r="B104" s="1" t="s">
        <v>18</v>
      </c>
      <c r="C104">
        <v>2015</v>
      </c>
      <c r="D104" s="1" t="s">
        <v>45</v>
      </c>
      <c r="E104" s="2">
        <v>1818.5</v>
      </c>
      <c r="F104">
        <v>126.1</v>
      </c>
      <c r="G104">
        <v>130.6</v>
      </c>
      <c r="H104">
        <v>121.7</v>
      </c>
      <c r="I104">
        <v>129.5</v>
      </c>
      <c r="J104">
        <v>117.8</v>
      </c>
      <c r="K104">
        <v>132.1</v>
      </c>
      <c r="L104">
        <v>155.19999999999999</v>
      </c>
      <c r="M104">
        <v>160.80000000000001</v>
      </c>
      <c r="N104">
        <v>94.5</v>
      </c>
      <c r="O104">
        <v>128.30000000000001</v>
      </c>
      <c r="P104">
        <v>123.1</v>
      </c>
      <c r="Q104">
        <v>134.19999999999999</v>
      </c>
      <c r="R104">
        <v>132.4</v>
      </c>
      <c r="S104">
        <v>132.19999999999999</v>
      </c>
      <c r="T104">
        <v>132.1</v>
      </c>
      <c r="U104">
        <v>128.19999999999999</v>
      </c>
      <c r="V104">
        <v>131.5</v>
      </c>
      <c r="W104" s="1">
        <v>139.12</v>
      </c>
      <c r="X104">
        <v>125.6</v>
      </c>
      <c r="Y104">
        <v>125.6</v>
      </c>
      <c r="Z104">
        <v>122.6</v>
      </c>
      <c r="AA104">
        <v>114</v>
      </c>
      <c r="AB104">
        <v>120.9</v>
      </c>
      <c r="AC104">
        <v>125.8</v>
      </c>
      <c r="AD104">
        <v>114.2</v>
      </c>
      <c r="AE104">
        <v>119.6</v>
      </c>
      <c r="AF104">
        <v>128.30000000000001</v>
      </c>
      <c r="AG104" s="2">
        <f>AVERAGE(All_India_Index_Upto_April23[[#This Row],[Food]:[General index]])</f>
        <v>188.01857142857145</v>
      </c>
      <c r="AH104" s="7">
        <f>DATE(All_India_Index_Upto_April23[[#This Row],[Year]],MONTH(1&amp;TRIM(All_India_Index_Upto_April23[[#This Row],[Month]])),1)</f>
        <v>42309</v>
      </c>
    </row>
    <row r="105" spans="1:34" x14ac:dyDescent="0.3">
      <c r="A105">
        <v>104</v>
      </c>
      <c r="B105" s="1" t="s">
        <v>33</v>
      </c>
      <c r="C105">
        <v>2015</v>
      </c>
      <c r="D105" s="1" t="s">
        <v>45</v>
      </c>
      <c r="E105" s="2">
        <v>1846.0999999999997</v>
      </c>
      <c r="F105">
        <v>124</v>
      </c>
      <c r="G105">
        <v>129.80000000000001</v>
      </c>
      <c r="H105">
        <v>121.5</v>
      </c>
      <c r="I105">
        <v>128.6</v>
      </c>
      <c r="J105">
        <v>110</v>
      </c>
      <c r="K105">
        <v>123.7</v>
      </c>
      <c r="L105">
        <v>164.6</v>
      </c>
      <c r="M105">
        <v>191.6</v>
      </c>
      <c r="N105">
        <v>90.8</v>
      </c>
      <c r="O105">
        <v>137.1</v>
      </c>
      <c r="P105">
        <v>119.8</v>
      </c>
      <c r="Q105">
        <v>133.69999999999999</v>
      </c>
      <c r="R105">
        <v>133.30000000000001</v>
      </c>
      <c r="S105">
        <v>137.6</v>
      </c>
      <c r="T105">
        <v>125</v>
      </c>
      <c r="U105">
        <v>119.3</v>
      </c>
      <c r="V105">
        <v>124.2</v>
      </c>
      <c r="W105" s="1">
        <v>122.9</v>
      </c>
      <c r="X105">
        <v>115.1</v>
      </c>
      <c r="Y105">
        <v>121</v>
      </c>
      <c r="Z105">
        <v>118.1</v>
      </c>
      <c r="AA105">
        <v>109.3</v>
      </c>
      <c r="AB105">
        <v>117.9</v>
      </c>
      <c r="AC105">
        <v>126.6</v>
      </c>
      <c r="AD105">
        <v>113.3</v>
      </c>
      <c r="AE105">
        <v>116.6</v>
      </c>
      <c r="AF105">
        <v>124.6</v>
      </c>
      <c r="AG105" s="2">
        <f>AVERAGE(All_India_Index_Upto_April23[[#This Row],[Food]:[General index]])</f>
        <v>187.36071428571432</v>
      </c>
      <c r="AH105" s="7">
        <f>DATE(All_India_Index_Upto_April23[[#This Row],[Year]],MONTH(1&amp;TRIM(All_India_Index_Upto_April23[[#This Row],[Month]])),1)</f>
        <v>42309</v>
      </c>
    </row>
    <row r="106" spans="1:34" x14ac:dyDescent="0.3">
      <c r="A106">
        <v>105</v>
      </c>
      <c r="B106" s="1" t="s">
        <v>34</v>
      </c>
      <c r="C106">
        <v>2015</v>
      </c>
      <c r="D106" s="1" t="s">
        <v>45</v>
      </c>
      <c r="E106" s="2">
        <v>1825.6999999999998</v>
      </c>
      <c r="F106">
        <v>125.4</v>
      </c>
      <c r="G106">
        <v>130.30000000000001</v>
      </c>
      <c r="H106">
        <v>121.6</v>
      </c>
      <c r="I106">
        <v>129.19999999999999</v>
      </c>
      <c r="J106">
        <v>114.9</v>
      </c>
      <c r="K106">
        <v>128.19999999999999</v>
      </c>
      <c r="L106">
        <v>158.4</v>
      </c>
      <c r="M106">
        <v>171.2</v>
      </c>
      <c r="N106">
        <v>93.3</v>
      </c>
      <c r="O106">
        <v>131.19999999999999</v>
      </c>
      <c r="P106">
        <v>121.7</v>
      </c>
      <c r="Q106">
        <v>134</v>
      </c>
      <c r="R106">
        <v>132.69999999999999</v>
      </c>
      <c r="S106">
        <v>133.6</v>
      </c>
      <c r="T106">
        <v>129.30000000000001</v>
      </c>
      <c r="U106">
        <v>124.5</v>
      </c>
      <c r="V106">
        <v>128.6</v>
      </c>
      <c r="W106" s="1">
        <v>122.9</v>
      </c>
      <c r="X106">
        <v>121.6</v>
      </c>
      <c r="Y106">
        <v>123.4</v>
      </c>
      <c r="Z106">
        <v>120.9</v>
      </c>
      <c r="AA106">
        <v>111.5</v>
      </c>
      <c r="AB106">
        <v>119.2</v>
      </c>
      <c r="AC106">
        <v>126.3</v>
      </c>
      <c r="AD106">
        <v>113.8</v>
      </c>
      <c r="AE106">
        <v>118.1</v>
      </c>
      <c r="AF106">
        <v>126.6</v>
      </c>
      <c r="AG106" s="2">
        <f>AVERAGE(All_India_Index_Upto_April23[[#This Row],[Food]:[General index]])</f>
        <v>187.07499999999999</v>
      </c>
      <c r="AH106" s="7">
        <f>DATE(All_India_Index_Upto_April23[[#This Row],[Year]],MONTH(1&amp;TRIM(All_India_Index_Upto_April23[[#This Row],[Month]])),1)</f>
        <v>42309</v>
      </c>
    </row>
    <row r="107" spans="1:34" x14ac:dyDescent="0.3">
      <c r="A107">
        <v>106</v>
      </c>
      <c r="B107" s="1" t="s">
        <v>18</v>
      </c>
      <c r="C107">
        <v>2015</v>
      </c>
      <c r="D107" s="1" t="s">
        <v>46</v>
      </c>
      <c r="E107" s="2">
        <v>1815.4</v>
      </c>
      <c r="F107">
        <v>126.3</v>
      </c>
      <c r="G107">
        <v>131.30000000000001</v>
      </c>
      <c r="H107">
        <v>123.3</v>
      </c>
      <c r="I107">
        <v>129.80000000000001</v>
      </c>
      <c r="J107">
        <v>118.3</v>
      </c>
      <c r="K107">
        <v>131.6</v>
      </c>
      <c r="L107">
        <v>145.5</v>
      </c>
      <c r="M107">
        <v>162.1</v>
      </c>
      <c r="N107">
        <v>95.4</v>
      </c>
      <c r="O107">
        <v>128.9</v>
      </c>
      <c r="P107">
        <v>123.3</v>
      </c>
      <c r="Q107">
        <v>135.1</v>
      </c>
      <c r="R107">
        <v>131.4</v>
      </c>
      <c r="S107">
        <v>133.1</v>
      </c>
      <c r="T107">
        <v>132.5</v>
      </c>
      <c r="U107">
        <v>128.5</v>
      </c>
      <c r="V107">
        <v>131.9</v>
      </c>
      <c r="W107" s="1">
        <v>139.12</v>
      </c>
      <c r="X107">
        <v>125.7</v>
      </c>
      <c r="Y107">
        <v>126</v>
      </c>
      <c r="Z107">
        <v>123.1</v>
      </c>
      <c r="AA107">
        <v>114</v>
      </c>
      <c r="AB107">
        <v>121.6</v>
      </c>
      <c r="AC107">
        <v>125.6</v>
      </c>
      <c r="AD107">
        <v>114.1</v>
      </c>
      <c r="AE107">
        <v>119.8</v>
      </c>
      <c r="AF107">
        <v>127.9</v>
      </c>
      <c r="AG107" s="2">
        <f>AVERAGE(All_India_Index_Upto_April23[[#This Row],[Food]:[General index]])</f>
        <v>187.87928571428577</v>
      </c>
      <c r="AH107" s="7">
        <f>DATE(All_India_Index_Upto_April23[[#This Row],[Year]],MONTH(1&amp;TRIM(All_India_Index_Upto_April23[[#This Row],[Month]])),1)</f>
        <v>42339</v>
      </c>
    </row>
    <row r="108" spans="1:34" x14ac:dyDescent="0.3">
      <c r="A108">
        <v>107</v>
      </c>
      <c r="B108" s="1" t="s">
        <v>33</v>
      </c>
      <c r="C108">
        <v>2015</v>
      </c>
      <c r="D108" s="1" t="s">
        <v>46</v>
      </c>
      <c r="E108" s="2">
        <v>1837</v>
      </c>
      <c r="F108">
        <v>124.3</v>
      </c>
      <c r="G108">
        <v>131.69999999999999</v>
      </c>
      <c r="H108">
        <v>127.1</v>
      </c>
      <c r="I108">
        <v>128.6</v>
      </c>
      <c r="J108">
        <v>110</v>
      </c>
      <c r="K108">
        <v>120.8</v>
      </c>
      <c r="L108">
        <v>149</v>
      </c>
      <c r="M108">
        <v>190.1</v>
      </c>
      <c r="N108">
        <v>92.7</v>
      </c>
      <c r="O108">
        <v>138.6</v>
      </c>
      <c r="P108">
        <v>120.2</v>
      </c>
      <c r="Q108">
        <v>134.19999999999999</v>
      </c>
      <c r="R108">
        <v>131.5</v>
      </c>
      <c r="S108">
        <v>138.19999999999999</v>
      </c>
      <c r="T108">
        <v>125.4</v>
      </c>
      <c r="U108">
        <v>119.5</v>
      </c>
      <c r="V108">
        <v>124.5</v>
      </c>
      <c r="W108" s="1">
        <v>122.4</v>
      </c>
      <c r="X108">
        <v>116</v>
      </c>
      <c r="Y108">
        <v>121</v>
      </c>
      <c r="Z108">
        <v>118.6</v>
      </c>
      <c r="AA108">
        <v>109.3</v>
      </c>
      <c r="AB108">
        <v>118.1</v>
      </c>
      <c r="AC108">
        <v>126.6</v>
      </c>
      <c r="AD108">
        <v>113.2</v>
      </c>
      <c r="AE108">
        <v>116.7</v>
      </c>
      <c r="AF108">
        <v>124</v>
      </c>
      <c r="AG108" s="2">
        <f>AVERAGE(All_India_Index_Upto_April23[[#This Row],[Food]:[General index]])</f>
        <v>186.7607142857143</v>
      </c>
      <c r="AH108" s="7">
        <f>DATE(All_India_Index_Upto_April23[[#This Row],[Year]],MONTH(1&amp;TRIM(All_India_Index_Upto_April23[[#This Row],[Month]])),1)</f>
        <v>42339</v>
      </c>
    </row>
    <row r="109" spans="1:34" x14ac:dyDescent="0.3">
      <c r="A109">
        <v>108</v>
      </c>
      <c r="B109" s="1" t="s">
        <v>34</v>
      </c>
      <c r="C109">
        <v>2015</v>
      </c>
      <c r="D109" s="1" t="s">
        <v>46</v>
      </c>
      <c r="E109" s="2">
        <v>1820.6000000000001</v>
      </c>
      <c r="F109">
        <v>125.7</v>
      </c>
      <c r="G109">
        <v>131.4</v>
      </c>
      <c r="H109">
        <v>124.8</v>
      </c>
      <c r="I109">
        <v>129.4</v>
      </c>
      <c r="J109">
        <v>115.3</v>
      </c>
      <c r="K109">
        <v>126.6</v>
      </c>
      <c r="L109">
        <v>146.69999999999999</v>
      </c>
      <c r="M109">
        <v>171.5</v>
      </c>
      <c r="N109">
        <v>94.5</v>
      </c>
      <c r="O109">
        <v>132.1</v>
      </c>
      <c r="P109">
        <v>122</v>
      </c>
      <c r="Q109">
        <v>134.69999999999999</v>
      </c>
      <c r="R109">
        <v>131.4</v>
      </c>
      <c r="S109">
        <v>134.5</v>
      </c>
      <c r="T109">
        <v>129.69999999999999</v>
      </c>
      <c r="U109">
        <v>124.8</v>
      </c>
      <c r="V109">
        <v>129</v>
      </c>
      <c r="W109" s="1">
        <v>122.4</v>
      </c>
      <c r="X109">
        <v>122</v>
      </c>
      <c r="Y109">
        <v>123.6</v>
      </c>
      <c r="Z109">
        <v>121.4</v>
      </c>
      <c r="AA109">
        <v>111.5</v>
      </c>
      <c r="AB109">
        <v>119.6</v>
      </c>
      <c r="AC109">
        <v>126.2</v>
      </c>
      <c r="AD109">
        <v>113.7</v>
      </c>
      <c r="AE109">
        <v>118.3</v>
      </c>
      <c r="AF109">
        <v>126.1</v>
      </c>
      <c r="AG109" s="2">
        <f>AVERAGE(All_India_Index_Upto_April23[[#This Row],[Food]:[General index]])</f>
        <v>186.76785714285717</v>
      </c>
      <c r="AH109" s="7">
        <f>DATE(All_India_Index_Upto_April23[[#This Row],[Year]],MONTH(1&amp;TRIM(All_India_Index_Upto_April23[[#This Row],[Month]])),1)</f>
        <v>42339</v>
      </c>
    </row>
    <row r="110" spans="1:34" x14ac:dyDescent="0.3">
      <c r="A110">
        <v>109</v>
      </c>
      <c r="B110" s="1" t="s">
        <v>18</v>
      </c>
      <c r="C110">
        <v>2016</v>
      </c>
      <c r="D110" s="1" t="s">
        <v>19</v>
      </c>
      <c r="E110" s="2">
        <v>1823.7</v>
      </c>
      <c r="F110">
        <v>126.8</v>
      </c>
      <c r="G110">
        <v>133.19999999999999</v>
      </c>
      <c r="H110">
        <v>126.5</v>
      </c>
      <c r="I110">
        <v>130.30000000000001</v>
      </c>
      <c r="J110">
        <v>118.9</v>
      </c>
      <c r="K110">
        <v>131.6</v>
      </c>
      <c r="L110">
        <v>140.1</v>
      </c>
      <c r="M110">
        <v>163.80000000000001</v>
      </c>
      <c r="N110">
        <v>97.7</v>
      </c>
      <c r="O110">
        <v>129.6</v>
      </c>
      <c r="P110">
        <v>124.3</v>
      </c>
      <c r="Q110">
        <v>135.9</v>
      </c>
      <c r="R110">
        <v>131.4</v>
      </c>
      <c r="S110">
        <v>133.6</v>
      </c>
      <c r="T110">
        <v>133.19999999999999</v>
      </c>
      <c r="U110">
        <v>128.9</v>
      </c>
      <c r="V110">
        <v>132.6</v>
      </c>
      <c r="W110" s="1">
        <v>139.12</v>
      </c>
      <c r="X110">
        <v>126.2</v>
      </c>
      <c r="Y110">
        <v>126.6</v>
      </c>
      <c r="Z110">
        <v>123.7</v>
      </c>
      <c r="AA110">
        <v>113.6</v>
      </c>
      <c r="AB110">
        <v>121.4</v>
      </c>
      <c r="AC110">
        <v>126.2</v>
      </c>
      <c r="AD110">
        <v>114.9</v>
      </c>
      <c r="AE110">
        <v>120.1</v>
      </c>
      <c r="AF110">
        <v>128.1</v>
      </c>
      <c r="AG110" s="2">
        <f>AVERAGE(All_India_Index_Upto_April23[[#This Row],[Food]:[General index]])</f>
        <v>188.64357142857145</v>
      </c>
      <c r="AH110" s="7">
        <f>DATE(All_India_Index_Upto_April23[[#This Row],[Year]],MONTH(1&amp;TRIM(All_India_Index_Upto_April23[[#This Row],[Month]])),1)</f>
        <v>42370</v>
      </c>
    </row>
    <row r="111" spans="1:34" x14ac:dyDescent="0.3">
      <c r="A111">
        <v>110</v>
      </c>
      <c r="B111" s="1" t="s">
        <v>33</v>
      </c>
      <c r="C111">
        <v>2016</v>
      </c>
      <c r="D111" s="1" t="s">
        <v>19</v>
      </c>
      <c r="E111" s="2">
        <v>1840.9</v>
      </c>
      <c r="F111">
        <v>124.7</v>
      </c>
      <c r="G111">
        <v>135.9</v>
      </c>
      <c r="H111">
        <v>132</v>
      </c>
      <c r="I111">
        <v>129.19999999999999</v>
      </c>
      <c r="J111">
        <v>109.7</v>
      </c>
      <c r="K111">
        <v>119</v>
      </c>
      <c r="L111">
        <v>144.1</v>
      </c>
      <c r="M111">
        <v>184.2</v>
      </c>
      <c r="N111">
        <v>96.7</v>
      </c>
      <c r="O111">
        <v>139.5</v>
      </c>
      <c r="P111">
        <v>120.5</v>
      </c>
      <c r="Q111">
        <v>134.69999999999999</v>
      </c>
      <c r="R111">
        <v>131.19999999999999</v>
      </c>
      <c r="S111">
        <v>139.5</v>
      </c>
      <c r="T111">
        <v>125.8</v>
      </c>
      <c r="U111">
        <v>119.8</v>
      </c>
      <c r="V111">
        <v>124.9</v>
      </c>
      <c r="W111" s="1">
        <v>123.4</v>
      </c>
      <c r="X111">
        <v>116.9</v>
      </c>
      <c r="Y111">
        <v>121.6</v>
      </c>
      <c r="Z111">
        <v>119.1</v>
      </c>
      <c r="AA111">
        <v>108.9</v>
      </c>
      <c r="AB111">
        <v>118.5</v>
      </c>
      <c r="AC111">
        <v>126.4</v>
      </c>
      <c r="AD111">
        <v>114</v>
      </c>
      <c r="AE111">
        <v>116.8</v>
      </c>
      <c r="AF111">
        <v>124.2</v>
      </c>
      <c r="AG111" s="2">
        <f>AVERAGE(All_India_Index_Upto_April23[[#This Row],[Food]:[General index]])</f>
        <v>187.2178571428571</v>
      </c>
      <c r="AH111" s="7">
        <f>DATE(All_India_Index_Upto_April23[[#This Row],[Year]],MONTH(1&amp;TRIM(All_India_Index_Upto_April23[[#This Row],[Month]])),1)</f>
        <v>42370</v>
      </c>
    </row>
    <row r="112" spans="1:34" x14ac:dyDescent="0.3">
      <c r="A112">
        <v>111</v>
      </c>
      <c r="B112" s="1" t="s">
        <v>34</v>
      </c>
      <c r="C112">
        <v>2016</v>
      </c>
      <c r="D112" s="1" t="s">
        <v>19</v>
      </c>
      <c r="E112" s="2">
        <v>1826.9</v>
      </c>
      <c r="F112">
        <v>126.1</v>
      </c>
      <c r="G112">
        <v>134.1</v>
      </c>
      <c r="H112">
        <v>128.6</v>
      </c>
      <c r="I112">
        <v>129.9</v>
      </c>
      <c r="J112">
        <v>115.5</v>
      </c>
      <c r="K112">
        <v>125.7</v>
      </c>
      <c r="L112">
        <v>141.5</v>
      </c>
      <c r="M112">
        <v>170.7</v>
      </c>
      <c r="N112">
        <v>97.4</v>
      </c>
      <c r="O112">
        <v>132.9</v>
      </c>
      <c r="P112">
        <v>122.7</v>
      </c>
      <c r="Q112">
        <v>135.30000000000001</v>
      </c>
      <c r="R112">
        <v>131.30000000000001</v>
      </c>
      <c r="S112">
        <v>135.19999999999999</v>
      </c>
      <c r="T112">
        <v>130.30000000000001</v>
      </c>
      <c r="U112">
        <v>125.1</v>
      </c>
      <c r="V112">
        <v>129.5</v>
      </c>
      <c r="W112" s="1">
        <v>123.4</v>
      </c>
      <c r="X112">
        <v>122.7</v>
      </c>
      <c r="Y112">
        <v>124.2</v>
      </c>
      <c r="Z112">
        <v>122</v>
      </c>
      <c r="AA112">
        <v>111.1</v>
      </c>
      <c r="AB112">
        <v>119.8</v>
      </c>
      <c r="AC112">
        <v>126.3</v>
      </c>
      <c r="AD112">
        <v>114.5</v>
      </c>
      <c r="AE112">
        <v>118.5</v>
      </c>
      <c r="AF112">
        <v>126.3</v>
      </c>
      <c r="AG112" s="2">
        <f>AVERAGE(All_India_Index_Upto_April23[[#This Row],[Food]:[General index]])</f>
        <v>187.41071428571428</v>
      </c>
      <c r="AH112" s="7">
        <f>DATE(All_India_Index_Upto_April23[[#This Row],[Year]],MONTH(1&amp;TRIM(All_India_Index_Upto_April23[[#This Row],[Month]])),1)</f>
        <v>42370</v>
      </c>
    </row>
    <row r="113" spans="1:34" x14ac:dyDescent="0.3">
      <c r="A113">
        <v>112</v>
      </c>
      <c r="B113" s="1" t="s">
        <v>18</v>
      </c>
      <c r="C113">
        <v>2016</v>
      </c>
      <c r="D113" s="1" t="s">
        <v>35</v>
      </c>
      <c r="E113" s="2">
        <v>1817</v>
      </c>
      <c r="F113">
        <v>127.1</v>
      </c>
      <c r="G113">
        <v>133.69999999999999</v>
      </c>
      <c r="H113">
        <v>127.7</v>
      </c>
      <c r="I113">
        <v>130.69999999999999</v>
      </c>
      <c r="J113">
        <v>118.5</v>
      </c>
      <c r="K113">
        <v>130.4</v>
      </c>
      <c r="L113">
        <v>130.9</v>
      </c>
      <c r="M113">
        <v>162.80000000000001</v>
      </c>
      <c r="N113">
        <v>98.7</v>
      </c>
      <c r="O113">
        <v>130.6</v>
      </c>
      <c r="P113">
        <v>124.8</v>
      </c>
      <c r="Q113">
        <v>136.4</v>
      </c>
      <c r="R113">
        <v>130.30000000000001</v>
      </c>
      <c r="S113">
        <v>134.4</v>
      </c>
      <c r="T113">
        <v>133.9</v>
      </c>
      <c r="U113">
        <v>129.80000000000001</v>
      </c>
      <c r="V113">
        <v>133.4</v>
      </c>
      <c r="W113" s="1">
        <v>139.12</v>
      </c>
      <c r="X113">
        <v>127.5</v>
      </c>
      <c r="Y113">
        <v>127.1</v>
      </c>
      <c r="Z113">
        <v>124.3</v>
      </c>
      <c r="AA113">
        <v>113.9</v>
      </c>
      <c r="AB113">
        <v>122.3</v>
      </c>
      <c r="AC113">
        <v>127.1</v>
      </c>
      <c r="AD113">
        <v>116.8</v>
      </c>
      <c r="AE113">
        <v>120.9</v>
      </c>
      <c r="AF113">
        <v>127.9</v>
      </c>
      <c r="AG113" s="2">
        <f>AVERAGE(All_India_Index_Upto_April23[[#This Row],[Food]:[General index]])</f>
        <v>188.50071428571431</v>
      </c>
      <c r="AH113" s="7">
        <f>DATE(All_India_Index_Upto_April23[[#This Row],[Year]],MONTH(1&amp;TRIM(All_India_Index_Upto_April23[[#This Row],[Month]])),1)</f>
        <v>42401</v>
      </c>
    </row>
    <row r="114" spans="1:34" x14ac:dyDescent="0.3">
      <c r="A114">
        <v>113</v>
      </c>
      <c r="B114" s="1" t="s">
        <v>33</v>
      </c>
      <c r="C114">
        <v>2016</v>
      </c>
      <c r="D114" s="1" t="s">
        <v>35</v>
      </c>
      <c r="E114" s="2">
        <v>1816.1</v>
      </c>
      <c r="F114">
        <v>124.8</v>
      </c>
      <c r="G114">
        <v>135.1</v>
      </c>
      <c r="H114">
        <v>130.30000000000001</v>
      </c>
      <c r="I114">
        <v>129.6</v>
      </c>
      <c r="J114">
        <v>108.4</v>
      </c>
      <c r="K114">
        <v>118.6</v>
      </c>
      <c r="L114">
        <v>129.19999999999999</v>
      </c>
      <c r="M114">
        <v>176.4</v>
      </c>
      <c r="N114">
        <v>99.1</v>
      </c>
      <c r="O114">
        <v>139.69999999999999</v>
      </c>
      <c r="P114">
        <v>120.6</v>
      </c>
      <c r="Q114">
        <v>135.19999999999999</v>
      </c>
      <c r="R114">
        <v>129.1</v>
      </c>
      <c r="S114">
        <v>140</v>
      </c>
      <c r="T114">
        <v>126.2</v>
      </c>
      <c r="U114">
        <v>120.1</v>
      </c>
      <c r="V114">
        <v>125.3</v>
      </c>
      <c r="W114" s="1">
        <v>124.4</v>
      </c>
      <c r="X114">
        <v>116</v>
      </c>
      <c r="Y114">
        <v>121.8</v>
      </c>
      <c r="Z114">
        <v>119.5</v>
      </c>
      <c r="AA114">
        <v>109.1</v>
      </c>
      <c r="AB114">
        <v>118.8</v>
      </c>
      <c r="AC114">
        <v>126.3</v>
      </c>
      <c r="AD114">
        <v>116.2</v>
      </c>
      <c r="AE114">
        <v>117.2</v>
      </c>
      <c r="AF114">
        <v>123.8</v>
      </c>
      <c r="AG114" s="2">
        <f>AVERAGE(All_India_Index_Upto_April23[[#This Row],[Food]:[General index]])</f>
        <v>185.60357142857143</v>
      </c>
      <c r="AH114" s="7">
        <f>DATE(All_India_Index_Upto_April23[[#This Row],[Year]],MONTH(1&amp;TRIM(All_India_Index_Upto_April23[[#This Row],[Month]])),1)</f>
        <v>42401</v>
      </c>
    </row>
    <row r="115" spans="1:34" x14ac:dyDescent="0.3">
      <c r="A115">
        <v>114</v>
      </c>
      <c r="B115" s="1" t="s">
        <v>34</v>
      </c>
      <c r="C115">
        <v>2016</v>
      </c>
      <c r="D115" s="1" t="s">
        <v>35</v>
      </c>
      <c r="E115" s="2">
        <v>1814</v>
      </c>
      <c r="F115">
        <v>126.4</v>
      </c>
      <c r="G115">
        <v>134.19999999999999</v>
      </c>
      <c r="H115">
        <v>128.69999999999999</v>
      </c>
      <c r="I115">
        <v>130.30000000000001</v>
      </c>
      <c r="J115">
        <v>114.8</v>
      </c>
      <c r="K115">
        <v>124.9</v>
      </c>
      <c r="L115">
        <v>130.30000000000001</v>
      </c>
      <c r="M115">
        <v>167.4</v>
      </c>
      <c r="N115">
        <v>98.8</v>
      </c>
      <c r="O115">
        <v>133.6</v>
      </c>
      <c r="P115">
        <v>123</v>
      </c>
      <c r="Q115">
        <v>135.80000000000001</v>
      </c>
      <c r="R115">
        <v>129.9</v>
      </c>
      <c r="S115">
        <v>135.9</v>
      </c>
      <c r="T115">
        <v>130.9</v>
      </c>
      <c r="U115">
        <v>125.8</v>
      </c>
      <c r="V115">
        <v>130.19999999999999</v>
      </c>
      <c r="W115" s="1">
        <v>124.4</v>
      </c>
      <c r="X115">
        <v>123.1</v>
      </c>
      <c r="Y115">
        <v>124.6</v>
      </c>
      <c r="Z115">
        <v>122.5</v>
      </c>
      <c r="AA115">
        <v>111.4</v>
      </c>
      <c r="AB115">
        <v>120.3</v>
      </c>
      <c r="AC115">
        <v>126.6</v>
      </c>
      <c r="AD115">
        <v>116.6</v>
      </c>
      <c r="AE115">
        <v>119.1</v>
      </c>
      <c r="AF115">
        <v>126</v>
      </c>
      <c r="AG115" s="2">
        <f>AVERAGE(All_India_Index_Upto_April23[[#This Row],[Food]:[General index]])</f>
        <v>186.76785714285725</v>
      </c>
      <c r="AH115" s="7">
        <f>DATE(All_India_Index_Upto_April23[[#This Row],[Year]],MONTH(1&amp;TRIM(All_India_Index_Upto_April23[[#This Row],[Month]])),1)</f>
        <v>42401</v>
      </c>
    </row>
    <row r="116" spans="1:34" x14ac:dyDescent="0.3">
      <c r="A116">
        <v>115</v>
      </c>
      <c r="B116" s="1" t="s">
        <v>18</v>
      </c>
      <c r="C116">
        <v>2016</v>
      </c>
      <c r="D116" s="1" t="s">
        <v>36</v>
      </c>
      <c r="E116" s="2">
        <v>1817.7000000000003</v>
      </c>
      <c r="F116">
        <v>127.3</v>
      </c>
      <c r="G116">
        <v>134.4</v>
      </c>
      <c r="H116">
        <v>125.1</v>
      </c>
      <c r="I116">
        <v>130.5</v>
      </c>
      <c r="J116">
        <v>118.3</v>
      </c>
      <c r="K116">
        <v>131.69999999999999</v>
      </c>
      <c r="L116">
        <v>130.69999999999999</v>
      </c>
      <c r="M116">
        <v>161.19999999999999</v>
      </c>
      <c r="N116">
        <v>100.4</v>
      </c>
      <c r="O116">
        <v>130.80000000000001</v>
      </c>
      <c r="P116">
        <v>124.9</v>
      </c>
      <c r="Q116">
        <v>137</v>
      </c>
      <c r="R116">
        <v>130.4</v>
      </c>
      <c r="S116">
        <v>135</v>
      </c>
      <c r="T116">
        <v>134.4</v>
      </c>
      <c r="U116">
        <v>130.19999999999999</v>
      </c>
      <c r="V116">
        <v>133.80000000000001</v>
      </c>
      <c r="W116" s="1">
        <v>139.12</v>
      </c>
      <c r="X116">
        <v>127</v>
      </c>
      <c r="Y116">
        <v>127.7</v>
      </c>
      <c r="Z116">
        <v>124.8</v>
      </c>
      <c r="AA116">
        <v>113.6</v>
      </c>
      <c r="AB116">
        <v>122.5</v>
      </c>
      <c r="AC116">
        <v>127.5</v>
      </c>
      <c r="AD116">
        <v>117.4</v>
      </c>
      <c r="AE116">
        <v>121.1</v>
      </c>
      <c r="AF116">
        <v>128</v>
      </c>
      <c r="AG116" s="2">
        <f>AVERAGE(All_India_Index_Upto_April23[[#This Row],[Food]:[General index]])</f>
        <v>188.66142857142859</v>
      </c>
      <c r="AH116" s="7">
        <f>DATE(All_India_Index_Upto_April23[[#This Row],[Year]],MONTH(1&amp;TRIM(All_India_Index_Upto_April23[[#This Row],[Month]])),1)</f>
        <v>42430</v>
      </c>
    </row>
    <row r="117" spans="1:34" x14ac:dyDescent="0.3">
      <c r="A117">
        <v>116</v>
      </c>
      <c r="B117" s="1" t="s">
        <v>33</v>
      </c>
      <c r="C117">
        <v>2016</v>
      </c>
      <c r="D117" s="1" t="s">
        <v>36</v>
      </c>
      <c r="E117" s="2">
        <v>1808.2</v>
      </c>
      <c r="F117">
        <v>124.8</v>
      </c>
      <c r="G117">
        <v>136.30000000000001</v>
      </c>
      <c r="H117">
        <v>123.7</v>
      </c>
      <c r="I117">
        <v>129.69999999999999</v>
      </c>
      <c r="J117">
        <v>107.9</v>
      </c>
      <c r="K117">
        <v>119.9</v>
      </c>
      <c r="L117">
        <v>128.1</v>
      </c>
      <c r="M117">
        <v>170.3</v>
      </c>
      <c r="N117">
        <v>101.8</v>
      </c>
      <c r="O117">
        <v>140.1</v>
      </c>
      <c r="P117">
        <v>120.7</v>
      </c>
      <c r="Q117">
        <v>135.4</v>
      </c>
      <c r="R117">
        <v>128.9</v>
      </c>
      <c r="S117">
        <v>140.6</v>
      </c>
      <c r="T117">
        <v>126.4</v>
      </c>
      <c r="U117">
        <v>120.3</v>
      </c>
      <c r="V117">
        <v>125.5</v>
      </c>
      <c r="W117" s="1">
        <v>124.9</v>
      </c>
      <c r="X117">
        <v>114.8</v>
      </c>
      <c r="Y117">
        <v>122.3</v>
      </c>
      <c r="Z117">
        <v>119.7</v>
      </c>
      <c r="AA117">
        <v>108.5</v>
      </c>
      <c r="AB117">
        <v>119.1</v>
      </c>
      <c r="AC117">
        <v>126.4</v>
      </c>
      <c r="AD117">
        <v>117.1</v>
      </c>
      <c r="AE117">
        <v>117.3</v>
      </c>
      <c r="AF117">
        <v>123.8</v>
      </c>
      <c r="AG117" s="2">
        <f>AVERAGE(All_India_Index_Upto_April23[[#This Row],[Food]:[General index]])</f>
        <v>185.08928571428575</v>
      </c>
      <c r="AH117" s="7">
        <f>DATE(All_India_Index_Upto_April23[[#This Row],[Year]],MONTH(1&amp;TRIM(All_India_Index_Upto_April23[[#This Row],[Month]])),1)</f>
        <v>42430</v>
      </c>
    </row>
    <row r="118" spans="1:34" x14ac:dyDescent="0.3">
      <c r="A118">
        <v>117</v>
      </c>
      <c r="B118" s="1" t="s">
        <v>34</v>
      </c>
      <c r="C118">
        <v>2016</v>
      </c>
      <c r="D118" s="1" t="s">
        <v>36</v>
      </c>
      <c r="E118" s="2">
        <v>1811.7</v>
      </c>
      <c r="F118">
        <v>126.5</v>
      </c>
      <c r="G118">
        <v>135.1</v>
      </c>
      <c r="H118">
        <v>124.6</v>
      </c>
      <c r="I118">
        <v>130.19999999999999</v>
      </c>
      <c r="J118">
        <v>114.5</v>
      </c>
      <c r="K118">
        <v>126.2</v>
      </c>
      <c r="L118">
        <v>129.80000000000001</v>
      </c>
      <c r="M118">
        <v>164.3</v>
      </c>
      <c r="N118">
        <v>100.9</v>
      </c>
      <c r="O118">
        <v>133.9</v>
      </c>
      <c r="P118">
        <v>123.1</v>
      </c>
      <c r="Q118">
        <v>136.30000000000001</v>
      </c>
      <c r="R118">
        <v>129.80000000000001</v>
      </c>
      <c r="S118">
        <v>136.5</v>
      </c>
      <c r="T118">
        <v>131.30000000000001</v>
      </c>
      <c r="U118">
        <v>126.1</v>
      </c>
      <c r="V118">
        <v>130.5</v>
      </c>
      <c r="W118" s="1">
        <v>124.9</v>
      </c>
      <c r="X118">
        <v>122.4</v>
      </c>
      <c r="Y118">
        <v>125.1</v>
      </c>
      <c r="Z118">
        <v>122.9</v>
      </c>
      <c r="AA118">
        <v>110.9</v>
      </c>
      <c r="AB118">
        <v>120.6</v>
      </c>
      <c r="AC118">
        <v>126.9</v>
      </c>
      <c r="AD118">
        <v>117.3</v>
      </c>
      <c r="AE118">
        <v>119.3</v>
      </c>
      <c r="AF118">
        <v>126</v>
      </c>
      <c r="AG118" s="2">
        <f>AVERAGE(All_India_Index_Upto_April23[[#This Row],[Food]:[General index]])</f>
        <v>186.70000000000002</v>
      </c>
      <c r="AH118" s="7">
        <f>DATE(All_India_Index_Upto_April23[[#This Row],[Year]],MONTH(1&amp;TRIM(All_India_Index_Upto_April23[[#This Row],[Month]])),1)</f>
        <v>42430</v>
      </c>
    </row>
    <row r="119" spans="1:34" x14ac:dyDescent="0.3">
      <c r="A119">
        <v>118</v>
      </c>
      <c r="B119" s="1" t="s">
        <v>18</v>
      </c>
      <c r="C119">
        <v>2016</v>
      </c>
      <c r="D119" s="1" t="s">
        <v>37</v>
      </c>
      <c r="E119" s="2">
        <v>1837.1000000000004</v>
      </c>
      <c r="F119">
        <v>127.4</v>
      </c>
      <c r="G119">
        <v>135.4</v>
      </c>
      <c r="H119">
        <v>123.4</v>
      </c>
      <c r="I119">
        <v>131.30000000000001</v>
      </c>
      <c r="J119">
        <v>118.2</v>
      </c>
      <c r="K119">
        <v>138.1</v>
      </c>
      <c r="L119">
        <v>134.1</v>
      </c>
      <c r="M119">
        <v>162.69999999999999</v>
      </c>
      <c r="N119">
        <v>105</v>
      </c>
      <c r="O119">
        <v>131.4</v>
      </c>
      <c r="P119">
        <v>125.4</v>
      </c>
      <c r="Q119">
        <v>137.4</v>
      </c>
      <c r="R119">
        <v>131.80000000000001</v>
      </c>
      <c r="S119">
        <v>135.5</v>
      </c>
      <c r="T119">
        <v>135</v>
      </c>
      <c r="U119">
        <v>130.6</v>
      </c>
      <c r="V119">
        <v>134.4</v>
      </c>
      <c r="W119" s="1">
        <v>139.12</v>
      </c>
      <c r="X119">
        <v>127</v>
      </c>
      <c r="Y119">
        <v>128</v>
      </c>
      <c r="Z119">
        <v>125.2</v>
      </c>
      <c r="AA119">
        <v>114.4</v>
      </c>
      <c r="AB119">
        <v>123.2</v>
      </c>
      <c r="AC119">
        <v>127.9</v>
      </c>
      <c r="AD119">
        <v>118.4</v>
      </c>
      <c r="AE119">
        <v>121.7</v>
      </c>
      <c r="AF119">
        <v>129</v>
      </c>
      <c r="AG119" s="2">
        <f>AVERAGE(All_India_Index_Upto_April23[[#This Row],[Food]:[General index]])</f>
        <v>190.28999999999996</v>
      </c>
      <c r="AH119" s="7">
        <f>DATE(All_India_Index_Upto_April23[[#This Row],[Year]],MONTH(1&amp;TRIM(All_India_Index_Upto_April23[[#This Row],[Month]])),1)</f>
        <v>42461</v>
      </c>
    </row>
    <row r="120" spans="1:34" x14ac:dyDescent="0.3">
      <c r="A120">
        <v>119</v>
      </c>
      <c r="B120" s="1" t="s">
        <v>33</v>
      </c>
      <c r="C120">
        <v>2016</v>
      </c>
      <c r="D120" s="1" t="s">
        <v>37</v>
      </c>
      <c r="E120" s="2">
        <v>1847.8</v>
      </c>
      <c r="F120">
        <v>124.9</v>
      </c>
      <c r="G120">
        <v>139.30000000000001</v>
      </c>
      <c r="H120">
        <v>119.9</v>
      </c>
      <c r="I120">
        <v>130.19999999999999</v>
      </c>
      <c r="J120">
        <v>108.9</v>
      </c>
      <c r="K120">
        <v>131.1</v>
      </c>
      <c r="L120">
        <v>136.80000000000001</v>
      </c>
      <c r="M120">
        <v>176.9</v>
      </c>
      <c r="N120">
        <v>109.1</v>
      </c>
      <c r="O120">
        <v>140.4</v>
      </c>
      <c r="P120">
        <v>121.1</v>
      </c>
      <c r="Q120">
        <v>135.9</v>
      </c>
      <c r="R120">
        <v>131.80000000000001</v>
      </c>
      <c r="S120">
        <v>141.5</v>
      </c>
      <c r="T120">
        <v>126.8</v>
      </c>
      <c r="U120">
        <v>120.5</v>
      </c>
      <c r="V120">
        <v>125.8</v>
      </c>
      <c r="W120" s="1">
        <v>125.6</v>
      </c>
      <c r="X120">
        <v>114.6</v>
      </c>
      <c r="Y120">
        <v>122.8</v>
      </c>
      <c r="Z120">
        <v>120</v>
      </c>
      <c r="AA120">
        <v>110</v>
      </c>
      <c r="AB120">
        <v>119.5</v>
      </c>
      <c r="AC120">
        <v>127.6</v>
      </c>
      <c r="AD120">
        <v>117.6</v>
      </c>
      <c r="AE120">
        <v>118.2</v>
      </c>
      <c r="AF120">
        <v>125.3</v>
      </c>
      <c r="AG120" s="2">
        <f>AVERAGE(All_India_Index_Upto_April23[[#This Row],[Food]:[General index]])</f>
        <v>188.21071428571437</v>
      </c>
      <c r="AH120" s="7">
        <f>DATE(All_India_Index_Upto_April23[[#This Row],[Year]],MONTH(1&amp;TRIM(All_India_Index_Upto_April23[[#This Row],[Month]])),1)</f>
        <v>42461</v>
      </c>
    </row>
    <row r="121" spans="1:34" x14ac:dyDescent="0.3">
      <c r="A121">
        <v>120</v>
      </c>
      <c r="B121" s="1" t="s">
        <v>34</v>
      </c>
      <c r="C121">
        <v>2016</v>
      </c>
      <c r="D121" s="1" t="s">
        <v>37</v>
      </c>
      <c r="E121" s="2">
        <v>1838.3999999999999</v>
      </c>
      <c r="F121">
        <v>126.6</v>
      </c>
      <c r="G121">
        <v>136.80000000000001</v>
      </c>
      <c r="H121">
        <v>122</v>
      </c>
      <c r="I121">
        <v>130.9</v>
      </c>
      <c r="J121">
        <v>114.8</v>
      </c>
      <c r="K121">
        <v>134.80000000000001</v>
      </c>
      <c r="L121">
        <v>135</v>
      </c>
      <c r="M121">
        <v>167.5</v>
      </c>
      <c r="N121">
        <v>106.4</v>
      </c>
      <c r="O121">
        <v>134.4</v>
      </c>
      <c r="P121">
        <v>123.6</v>
      </c>
      <c r="Q121">
        <v>136.69999999999999</v>
      </c>
      <c r="R121">
        <v>131.80000000000001</v>
      </c>
      <c r="S121">
        <v>137.1</v>
      </c>
      <c r="T121">
        <v>131.80000000000001</v>
      </c>
      <c r="U121">
        <v>126.4</v>
      </c>
      <c r="V121">
        <v>131</v>
      </c>
      <c r="W121" s="1">
        <v>125.6</v>
      </c>
      <c r="X121">
        <v>122.3</v>
      </c>
      <c r="Y121">
        <v>125.5</v>
      </c>
      <c r="Z121">
        <v>123.2</v>
      </c>
      <c r="AA121">
        <v>112.1</v>
      </c>
      <c r="AB121">
        <v>121.1</v>
      </c>
      <c r="AC121">
        <v>127.7</v>
      </c>
      <c r="AD121">
        <v>118.1</v>
      </c>
      <c r="AE121">
        <v>120</v>
      </c>
      <c r="AF121">
        <v>127.3</v>
      </c>
      <c r="AG121" s="2">
        <f>AVERAGE(All_India_Index_Upto_April23[[#This Row],[Food]:[General index]])</f>
        <v>188.88928571428576</v>
      </c>
      <c r="AH121" s="7">
        <f>DATE(All_India_Index_Upto_April23[[#This Row],[Year]],MONTH(1&amp;TRIM(All_India_Index_Upto_April23[[#This Row],[Month]])),1)</f>
        <v>42461</v>
      </c>
    </row>
    <row r="122" spans="1:34" x14ac:dyDescent="0.3">
      <c r="A122">
        <v>121</v>
      </c>
      <c r="B122" s="1" t="s">
        <v>18</v>
      </c>
      <c r="C122">
        <v>2016</v>
      </c>
      <c r="D122" s="1" t="s">
        <v>38</v>
      </c>
      <c r="E122" s="2">
        <v>1859.6999999999998</v>
      </c>
      <c r="F122">
        <v>127.6</v>
      </c>
      <c r="G122">
        <v>137.5</v>
      </c>
      <c r="H122">
        <v>124.4</v>
      </c>
      <c r="I122">
        <v>132.4</v>
      </c>
      <c r="J122">
        <v>118.2</v>
      </c>
      <c r="K122">
        <v>138.1</v>
      </c>
      <c r="L122">
        <v>141.80000000000001</v>
      </c>
      <c r="M122">
        <v>166</v>
      </c>
      <c r="N122">
        <v>107.5</v>
      </c>
      <c r="O122">
        <v>132.19999999999999</v>
      </c>
      <c r="P122">
        <v>126.1</v>
      </c>
      <c r="Q122">
        <v>138.30000000000001</v>
      </c>
      <c r="R122">
        <v>133.6</v>
      </c>
      <c r="S122">
        <v>136</v>
      </c>
      <c r="T122">
        <v>135.4</v>
      </c>
      <c r="U122">
        <v>131.1</v>
      </c>
      <c r="V122">
        <v>134.80000000000001</v>
      </c>
      <c r="W122" s="1">
        <v>139.12</v>
      </c>
      <c r="X122">
        <v>127.4</v>
      </c>
      <c r="Y122">
        <v>128.5</v>
      </c>
      <c r="Z122">
        <v>125.8</v>
      </c>
      <c r="AA122">
        <v>115.1</v>
      </c>
      <c r="AB122">
        <v>123.6</v>
      </c>
      <c r="AC122">
        <v>129.1</v>
      </c>
      <c r="AD122">
        <v>119.7</v>
      </c>
      <c r="AE122">
        <v>122.5</v>
      </c>
      <c r="AF122">
        <v>130.30000000000001</v>
      </c>
      <c r="AG122" s="2">
        <f>AVERAGE(All_India_Index_Upto_April23[[#This Row],[Food]:[General index]])</f>
        <v>192.20785714285716</v>
      </c>
      <c r="AH122" s="7">
        <f>DATE(All_India_Index_Upto_April23[[#This Row],[Year]],MONTH(1&amp;TRIM(All_India_Index_Upto_April23[[#This Row],[Month]])),1)</f>
        <v>42491</v>
      </c>
    </row>
    <row r="123" spans="1:34" x14ac:dyDescent="0.3">
      <c r="A123">
        <v>122</v>
      </c>
      <c r="B123" s="1" t="s">
        <v>33</v>
      </c>
      <c r="C123">
        <v>2016</v>
      </c>
      <c r="D123" s="1" t="s">
        <v>38</v>
      </c>
      <c r="E123" s="2">
        <v>1888.9999999999998</v>
      </c>
      <c r="F123">
        <v>125</v>
      </c>
      <c r="G123">
        <v>142.1</v>
      </c>
      <c r="H123">
        <v>127</v>
      </c>
      <c r="I123">
        <v>130.4</v>
      </c>
      <c r="J123">
        <v>109.6</v>
      </c>
      <c r="K123">
        <v>133.5</v>
      </c>
      <c r="L123">
        <v>151.4</v>
      </c>
      <c r="M123">
        <v>182.8</v>
      </c>
      <c r="N123">
        <v>111.1</v>
      </c>
      <c r="O123">
        <v>141.5</v>
      </c>
      <c r="P123">
        <v>121.5</v>
      </c>
      <c r="Q123">
        <v>136.30000000000001</v>
      </c>
      <c r="R123">
        <v>134.6</v>
      </c>
      <c r="S123">
        <v>142.19999999999999</v>
      </c>
      <c r="T123">
        <v>127.2</v>
      </c>
      <c r="U123">
        <v>120.7</v>
      </c>
      <c r="V123">
        <v>126.2</v>
      </c>
      <c r="W123" s="1">
        <v>126</v>
      </c>
      <c r="X123">
        <v>115</v>
      </c>
      <c r="Y123">
        <v>123.2</v>
      </c>
      <c r="Z123">
        <v>120.3</v>
      </c>
      <c r="AA123">
        <v>110.7</v>
      </c>
      <c r="AB123">
        <v>119.8</v>
      </c>
      <c r="AC123">
        <v>128</v>
      </c>
      <c r="AD123">
        <v>118.5</v>
      </c>
      <c r="AE123">
        <v>118.7</v>
      </c>
      <c r="AF123">
        <v>126.6</v>
      </c>
      <c r="AG123" s="2">
        <f>AVERAGE(All_India_Index_Upto_April23[[#This Row],[Food]:[General index]])</f>
        <v>191.38928571428571</v>
      </c>
      <c r="AH123" s="7">
        <f>DATE(All_India_Index_Upto_April23[[#This Row],[Year]],MONTH(1&amp;TRIM(All_India_Index_Upto_April23[[#This Row],[Month]])),1)</f>
        <v>42491</v>
      </c>
    </row>
    <row r="124" spans="1:34" x14ac:dyDescent="0.3">
      <c r="A124">
        <v>123</v>
      </c>
      <c r="B124" s="1" t="s">
        <v>34</v>
      </c>
      <c r="C124">
        <v>2016</v>
      </c>
      <c r="D124" s="1" t="s">
        <v>38</v>
      </c>
      <c r="E124" s="2">
        <v>1868.1000000000001</v>
      </c>
      <c r="F124">
        <v>126.8</v>
      </c>
      <c r="G124">
        <v>139.1</v>
      </c>
      <c r="H124">
        <v>125.4</v>
      </c>
      <c r="I124">
        <v>131.69999999999999</v>
      </c>
      <c r="J124">
        <v>115</v>
      </c>
      <c r="K124">
        <v>136</v>
      </c>
      <c r="L124">
        <v>145.1</v>
      </c>
      <c r="M124">
        <v>171.7</v>
      </c>
      <c r="N124">
        <v>108.7</v>
      </c>
      <c r="O124">
        <v>135.30000000000001</v>
      </c>
      <c r="P124">
        <v>124.2</v>
      </c>
      <c r="Q124">
        <v>137.4</v>
      </c>
      <c r="R124">
        <v>134</v>
      </c>
      <c r="S124">
        <v>137.69999999999999</v>
      </c>
      <c r="T124">
        <v>132.19999999999999</v>
      </c>
      <c r="U124">
        <v>126.8</v>
      </c>
      <c r="V124">
        <v>131.4</v>
      </c>
      <c r="W124" s="1">
        <v>126</v>
      </c>
      <c r="X124">
        <v>122.7</v>
      </c>
      <c r="Y124">
        <v>126</v>
      </c>
      <c r="Z124">
        <v>123.7</v>
      </c>
      <c r="AA124">
        <v>112.8</v>
      </c>
      <c r="AB124">
        <v>121.5</v>
      </c>
      <c r="AC124">
        <v>128.5</v>
      </c>
      <c r="AD124">
        <v>119.2</v>
      </c>
      <c r="AE124">
        <v>120.7</v>
      </c>
      <c r="AF124">
        <v>128.6</v>
      </c>
      <c r="AG124" s="2">
        <f>AVERAGE(All_India_Index_Upto_April23[[#This Row],[Food]:[General index]])</f>
        <v>191.29642857142855</v>
      </c>
      <c r="AH124" s="7">
        <f>DATE(All_India_Index_Upto_April23[[#This Row],[Year]],MONTH(1&amp;TRIM(All_India_Index_Upto_April23[[#This Row],[Month]])),1)</f>
        <v>42491</v>
      </c>
    </row>
    <row r="125" spans="1:34" x14ac:dyDescent="0.3">
      <c r="A125">
        <v>124</v>
      </c>
      <c r="B125" s="1" t="s">
        <v>18</v>
      </c>
      <c r="C125">
        <v>2016</v>
      </c>
      <c r="D125" s="1" t="s">
        <v>39</v>
      </c>
      <c r="E125" s="2">
        <v>1885.8</v>
      </c>
      <c r="F125">
        <v>128.6</v>
      </c>
      <c r="G125">
        <v>138.6</v>
      </c>
      <c r="H125">
        <v>126.6</v>
      </c>
      <c r="I125">
        <v>133.6</v>
      </c>
      <c r="J125">
        <v>118.6</v>
      </c>
      <c r="K125">
        <v>137.4</v>
      </c>
      <c r="L125">
        <v>152.5</v>
      </c>
      <c r="M125">
        <v>169.2</v>
      </c>
      <c r="N125">
        <v>108.8</v>
      </c>
      <c r="O125">
        <v>133.1</v>
      </c>
      <c r="P125">
        <v>126.4</v>
      </c>
      <c r="Q125">
        <v>139.19999999999999</v>
      </c>
      <c r="R125">
        <v>136</v>
      </c>
      <c r="S125">
        <v>137.19999999999999</v>
      </c>
      <c r="T125">
        <v>136.30000000000001</v>
      </c>
      <c r="U125">
        <v>131.6</v>
      </c>
      <c r="V125">
        <v>135.6</v>
      </c>
      <c r="W125" s="1">
        <v>139.12</v>
      </c>
      <c r="X125">
        <v>128</v>
      </c>
      <c r="Y125">
        <v>129.30000000000001</v>
      </c>
      <c r="Z125">
        <v>126.2</v>
      </c>
      <c r="AA125">
        <v>116.3</v>
      </c>
      <c r="AB125">
        <v>124.1</v>
      </c>
      <c r="AC125">
        <v>130.19999999999999</v>
      </c>
      <c r="AD125">
        <v>119.9</v>
      </c>
      <c r="AE125">
        <v>123.3</v>
      </c>
      <c r="AF125">
        <v>131.9</v>
      </c>
      <c r="AG125" s="2">
        <f>AVERAGE(All_India_Index_Upto_April23[[#This Row],[Food]:[General index]])</f>
        <v>194.40785714285713</v>
      </c>
      <c r="AH125" s="7">
        <f>DATE(All_India_Index_Upto_April23[[#This Row],[Year]],MONTH(1&amp;TRIM(All_India_Index_Upto_April23[[#This Row],[Month]])),1)</f>
        <v>42522</v>
      </c>
    </row>
    <row r="126" spans="1:34" x14ac:dyDescent="0.3">
      <c r="A126">
        <v>125</v>
      </c>
      <c r="B126" s="1" t="s">
        <v>33</v>
      </c>
      <c r="C126">
        <v>2016</v>
      </c>
      <c r="D126" s="1" t="s">
        <v>39</v>
      </c>
      <c r="E126" s="2">
        <v>1929.7000000000003</v>
      </c>
      <c r="F126">
        <v>125.9</v>
      </c>
      <c r="G126">
        <v>143.9</v>
      </c>
      <c r="H126">
        <v>130.9</v>
      </c>
      <c r="I126">
        <v>131</v>
      </c>
      <c r="J126">
        <v>110.2</v>
      </c>
      <c r="K126">
        <v>135.5</v>
      </c>
      <c r="L126">
        <v>173.7</v>
      </c>
      <c r="M126">
        <v>184.4</v>
      </c>
      <c r="N126">
        <v>112</v>
      </c>
      <c r="O126">
        <v>142.80000000000001</v>
      </c>
      <c r="P126">
        <v>121.6</v>
      </c>
      <c r="Q126">
        <v>136.9</v>
      </c>
      <c r="R126">
        <v>138.19999999999999</v>
      </c>
      <c r="S126">
        <v>142.69999999999999</v>
      </c>
      <c r="T126">
        <v>127.6</v>
      </c>
      <c r="U126">
        <v>121.1</v>
      </c>
      <c r="V126">
        <v>126.6</v>
      </c>
      <c r="W126" s="1">
        <v>125.5</v>
      </c>
      <c r="X126">
        <v>115.5</v>
      </c>
      <c r="Y126">
        <v>123.2</v>
      </c>
      <c r="Z126">
        <v>120.6</v>
      </c>
      <c r="AA126">
        <v>112.3</v>
      </c>
      <c r="AB126">
        <v>119.9</v>
      </c>
      <c r="AC126">
        <v>129.30000000000001</v>
      </c>
      <c r="AD126">
        <v>118.8</v>
      </c>
      <c r="AE126">
        <v>119.6</v>
      </c>
      <c r="AF126">
        <v>128.1</v>
      </c>
      <c r="AG126" s="2">
        <f>AVERAGE(All_India_Index_Upto_April23[[#This Row],[Food]:[General index]])</f>
        <v>194.5535714285715</v>
      </c>
      <c r="AH126" s="7">
        <f>DATE(All_India_Index_Upto_April23[[#This Row],[Year]],MONTH(1&amp;TRIM(All_India_Index_Upto_April23[[#This Row],[Month]])),1)</f>
        <v>42522</v>
      </c>
    </row>
    <row r="127" spans="1:34" x14ac:dyDescent="0.3">
      <c r="A127">
        <v>126</v>
      </c>
      <c r="B127" s="1" t="s">
        <v>34</v>
      </c>
      <c r="C127">
        <v>2016</v>
      </c>
      <c r="D127" s="1" t="s">
        <v>39</v>
      </c>
      <c r="E127" s="2">
        <v>1899.3</v>
      </c>
      <c r="F127">
        <v>127.7</v>
      </c>
      <c r="G127">
        <v>140.5</v>
      </c>
      <c r="H127">
        <v>128.30000000000001</v>
      </c>
      <c r="I127">
        <v>132.6</v>
      </c>
      <c r="J127">
        <v>115.5</v>
      </c>
      <c r="K127">
        <v>136.5</v>
      </c>
      <c r="L127">
        <v>159.69999999999999</v>
      </c>
      <c r="M127">
        <v>174.3</v>
      </c>
      <c r="N127">
        <v>109.9</v>
      </c>
      <c r="O127">
        <v>136.30000000000001</v>
      </c>
      <c r="P127">
        <v>124.4</v>
      </c>
      <c r="Q127">
        <v>138.1</v>
      </c>
      <c r="R127">
        <v>136.80000000000001</v>
      </c>
      <c r="S127">
        <v>138.69999999999999</v>
      </c>
      <c r="T127">
        <v>132.9</v>
      </c>
      <c r="U127">
        <v>127.2</v>
      </c>
      <c r="V127">
        <v>132</v>
      </c>
      <c r="W127" s="1">
        <v>125.5</v>
      </c>
      <c r="X127">
        <v>123.3</v>
      </c>
      <c r="Y127">
        <v>126.4</v>
      </c>
      <c r="Z127">
        <v>124.1</v>
      </c>
      <c r="AA127">
        <v>114.2</v>
      </c>
      <c r="AB127">
        <v>121.7</v>
      </c>
      <c r="AC127">
        <v>129.69999999999999</v>
      </c>
      <c r="AD127">
        <v>119.4</v>
      </c>
      <c r="AE127">
        <v>121.5</v>
      </c>
      <c r="AF127">
        <v>130.1</v>
      </c>
      <c r="AG127" s="2">
        <f>AVERAGE(All_India_Index_Upto_April23[[#This Row],[Food]:[General index]])</f>
        <v>193.80714285714288</v>
      </c>
      <c r="AH127" s="7">
        <f>DATE(All_India_Index_Upto_April23[[#This Row],[Year]],MONTH(1&amp;TRIM(All_India_Index_Upto_April23[[#This Row],[Month]])),1)</f>
        <v>42522</v>
      </c>
    </row>
    <row r="128" spans="1:34" x14ac:dyDescent="0.3">
      <c r="A128">
        <v>127</v>
      </c>
      <c r="B128" s="1" t="s">
        <v>18</v>
      </c>
      <c r="C128">
        <v>2016</v>
      </c>
      <c r="D128" s="1" t="s">
        <v>40</v>
      </c>
      <c r="E128" s="2">
        <v>1908.2999999999997</v>
      </c>
      <c r="F128">
        <v>129.30000000000001</v>
      </c>
      <c r="G128">
        <v>139.5</v>
      </c>
      <c r="H128">
        <v>129.6</v>
      </c>
      <c r="I128">
        <v>134.5</v>
      </c>
      <c r="J128">
        <v>119.5</v>
      </c>
      <c r="K128">
        <v>138.5</v>
      </c>
      <c r="L128">
        <v>158.19999999999999</v>
      </c>
      <c r="M128">
        <v>171.8</v>
      </c>
      <c r="N128">
        <v>110.3</v>
      </c>
      <c r="O128">
        <v>134.30000000000001</v>
      </c>
      <c r="P128">
        <v>127.3</v>
      </c>
      <c r="Q128">
        <v>139.9</v>
      </c>
      <c r="R128">
        <v>137.6</v>
      </c>
      <c r="S128">
        <v>138</v>
      </c>
      <c r="T128">
        <v>137.19999999999999</v>
      </c>
      <c r="U128">
        <v>132.19999999999999</v>
      </c>
      <c r="V128">
        <v>136.5</v>
      </c>
      <c r="W128" s="1">
        <v>139.12</v>
      </c>
      <c r="X128">
        <v>128.19999999999999</v>
      </c>
      <c r="Y128">
        <v>130</v>
      </c>
      <c r="Z128">
        <v>126.7</v>
      </c>
      <c r="AA128">
        <v>116.4</v>
      </c>
      <c r="AB128">
        <v>125.2</v>
      </c>
      <c r="AC128">
        <v>130.80000000000001</v>
      </c>
      <c r="AD128">
        <v>120.9</v>
      </c>
      <c r="AE128">
        <v>123.8</v>
      </c>
      <c r="AF128">
        <v>133</v>
      </c>
      <c r="AG128" s="2">
        <f>AVERAGE(All_India_Index_Upto_April23[[#This Row],[Food]:[General index]])</f>
        <v>196.3078571428571</v>
      </c>
      <c r="AH128" s="7">
        <f>DATE(All_India_Index_Upto_April23[[#This Row],[Year]],MONTH(1&amp;TRIM(All_India_Index_Upto_April23[[#This Row],[Month]])),1)</f>
        <v>42552</v>
      </c>
    </row>
    <row r="129" spans="1:34" x14ac:dyDescent="0.3">
      <c r="A129">
        <v>128</v>
      </c>
      <c r="B129" s="1" t="s">
        <v>33</v>
      </c>
      <c r="C129">
        <v>2016</v>
      </c>
      <c r="D129" s="1" t="s">
        <v>40</v>
      </c>
      <c r="E129" s="2">
        <v>1954.4000000000003</v>
      </c>
      <c r="F129">
        <v>126.8</v>
      </c>
      <c r="G129">
        <v>144.19999999999999</v>
      </c>
      <c r="H129">
        <v>136.6</v>
      </c>
      <c r="I129">
        <v>131.80000000000001</v>
      </c>
      <c r="J129">
        <v>111</v>
      </c>
      <c r="K129">
        <v>137</v>
      </c>
      <c r="L129">
        <v>179.5</v>
      </c>
      <c r="M129">
        <v>188.4</v>
      </c>
      <c r="N129">
        <v>113.3</v>
      </c>
      <c r="O129">
        <v>143.9</v>
      </c>
      <c r="P129">
        <v>121.7</v>
      </c>
      <c r="Q129">
        <v>137.5</v>
      </c>
      <c r="R129">
        <v>139.80000000000001</v>
      </c>
      <c r="S129">
        <v>142.9</v>
      </c>
      <c r="T129">
        <v>127.9</v>
      </c>
      <c r="U129">
        <v>121.1</v>
      </c>
      <c r="V129">
        <v>126.9</v>
      </c>
      <c r="W129" s="1">
        <v>126.4</v>
      </c>
      <c r="X129">
        <v>115.5</v>
      </c>
      <c r="Y129">
        <v>123.5</v>
      </c>
      <c r="Z129">
        <v>120.9</v>
      </c>
      <c r="AA129">
        <v>111.7</v>
      </c>
      <c r="AB129">
        <v>120.3</v>
      </c>
      <c r="AC129">
        <v>130.80000000000001</v>
      </c>
      <c r="AD129">
        <v>120</v>
      </c>
      <c r="AE129">
        <v>119.9</v>
      </c>
      <c r="AF129">
        <v>129</v>
      </c>
      <c r="AG129" s="2">
        <f>AVERAGE(All_India_Index_Upto_April23[[#This Row],[Food]:[General index]])</f>
        <v>196.52500000000001</v>
      </c>
      <c r="AH129" s="7">
        <f>DATE(All_India_Index_Upto_April23[[#This Row],[Year]],MONTH(1&amp;TRIM(All_India_Index_Upto_April23[[#This Row],[Month]])),1)</f>
        <v>42552</v>
      </c>
    </row>
    <row r="130" spans="1:34" x14ac:dyDescent="0.3">
      <c r="A130">
        <v>129</v>
      </c>
      <c r="B130" s="1" t="s">
        <v>34</v>
      </c>
      <c r="C130">
        <v>2016</v>
      </c>
      <c r="D130" s="1" t="s">
        <v>40</v>
      </c>
      <c r="E130" s="2">
        <v>1922.8</v>
      </c>
      <c r="F130">
        <v>128.5</v>
      </c>
      <c r="G130">
        <v>141.19999999999999</v>
      </c>
      <c r="H130">
        <v>132.30000000000001</v>
      </c>
      <c r="I130">
        <v>133.5</v>
      </c>
      <c r="J130">
        <v>116.4</v>
      </c>
      <c r="K130">
        <v>137.80000000000001</v>
      </c>
      <c r="L130">
        <v>165.4</v>
      </c>
      <c r="M130">
        <v>177.4</v>
      </c>
      <c r="N130">
        <v>111.3</v>
      </c>
      <c r="O130">
        <v>137.5</v>
      </c>
      <c r="P130">
        <v>125</v>
      </c>
      <c r="Q130">
        <v>138.80000000000001</v>
      </c>
      <c r="R130">
        <v>138.4</v>
      </c>
      <c r="S130">
        <v>139.30000000000001</v>
      </c>
      <c r="T130">
        <v>133.5</v>
      </c>
      <c r="U130">
        <v>127.6</v>
      </c>
      <c r="V130">
        <v>132.69999999999999</v>
      </c>
      <c r="W130" s="1">
        <v>126.4</v>
      </c>
      <c r="X130">
        <v>123.4</v>
      </c>
      <c r="Y130">
        <v>126.9</v>
      </c>
      <c r="Z130">
        <v>124.5</v>
      </c>
      <c r="AA130">
        <v>113.9</v>
      </c>
      <c r="AB130">
        <v>122.4</v>
      </c>
      <c r="AC130">
        <v>130.80000000000001</v>
      </c>
      <c r="AD130">
        <v>120.5</v>
      </c>
      <c r="AE130">
        <v>121.9</v>
      </c>
      <c r="AF130">
        <v>131.1</v>
      </c>
      <c r="AG130" s="2">
        <f>AVERAGE(All_India_Index_Upto_April23[[#This Row],[Food]:[General index]])</f>
        <v>195.75714285714284</v>
      </c>
      <c r="AH130" s="7">
        <f>DATE(All_India_Index_Upto_April23[[#This Row],[Year]],MONTH(1&amp;TRIM(All_India_Index_Upto_April23[[#This Row],[Month]])),1)</f>
        <v>42552</v>
      </c>
    </row>
    <row r="131" spans="1:34" x14ac:dyDescent="0.3">
      <c r="A131">
        <v>130</v>
      </c>
      <c r="B131" s="1" t="s">
        <v>18</v>
      </c>
      <c r="C131">
        <v>2016</v>
      </c>
      <c r="D131" s="1" t="s">
        <v>41</v>
      </c>
      <c r="E131" s="2">
        <v>1916.3999999999999</v>
      </c>
      <c r="F131">
        <v>130.1</v>
      </c>
      <c r="G131">
        <v>138.80000000000001</v>
      </c>
      <c r="H131">
        <v>130.30000000000001</v>
      </c>
      <c r="I131">
        <v>135.30000000000001</v>
      </c>
      <c r="J131">
        <v>119.9</v>
      </c>
      <c r="K131">
        <v>140.19999999999999</v>
      </c>
      <c r="L131">
        <v>156.9</v>
      </c>
      <c r="M131">
        <v>172.2</v>
      </c>
      <c r="N131">
        <v>112.1</v>
      </c>
      <c r="O131">
        <v>134.9</v>
      </c>
      <c r="P131">
        <v>128.1</v>
      </c>
      <c r="Q131">
        <v>140.69999999999999</v>
      </c>
      <c r="R131">
        <v>138</v>
      </c>
      <c r="S131">
        <v>138.9</v>
      </c>
      <c r="T131">
        <v>137.80000000000001</v>
      </c>
      <c r="U131">
        <v>133</v>
      </c>
      <c r="V131">
        <v>137.1</v>
      </c>
      <c r="W131" s="1">
        <v>139.12</v>
      </c>
      <c r="X131">
        <v>129.1</v>
      </c>
      <c r="Y131">
        <v>130.6</v>
      </c>
      <c r="Z131">
        <v>127</v>
      </c>
      <c r="AA131">
        <v>116</v>
      </c>
      <c r="AB131">
        <v>125.5</v>
      </c>
      <c r="AC131">
        <v>131.9</v>
      </c>
      <c r="AD131">
        <v>122</v>
      </c>
      <c r="AE131">
        <v>124.2</v>
      </c>
      <c r="AF131">
        <v>133.5</v>
      </c>
      <c r="AG131" s="2">
        <f>AVERAGE(All_India_Index_Upto_April23[[#This Row],[Food]:[General index]])</f>
        <v>197.12928571428574</v>
      </c>
      <c r="AH131" s="7">
        <f>DATE(All_India_Index_Upto_April23[[#This Row],[Year]],MONTH(1&amp;TRIM(All_India_Index_Upto_April23[[#This Row],[Month]])),1)</f>
        <v>42583</v>
      </c>
    </row>
    <row r="132" spans="1:34" x14ac:dyDescent="0.3">
      <c r="A132">
        <v>131</v>
      </c>
      <c r="B132" s="1" t="s">
        <v>33</v>
      </c>
      <c r="C132">
        <v>2016</v>
      </c>
      <c r="D132" s="1" t="s">
        <v>41</v>
      </c>
      <c r="E132" s="2">
        <v>1927.5999999999995</v>
      </c>
      <c r="F132">
        <v>127.6</v>
      </c>
      <c r="G132">
        <v>140.30000000000001</v>
      </c>
      <c r="H132">
        <v>133.69999999999999</v>
      </c>
      <c r="I132">
        <v>132.19999999999999</v>
      </c>
      <c r="J132">
        <v>111.8</v>
      </c>
      <c r="K132">
        <v>135.80000000000001</v>
      </c>
      <c r="L132">
        <v>163.5</v>
      </c>
      <c r="M132">
        <v>182.3</v>
      </c>
      <c r="N132">
        <v>114.6</v>
      </c>
      <c r="O132">
        <v>144.6</v>
      </c>
      <c r="P132">
        <v>121.9</v>
      </c>
      <c r="Q132">
        <v>138.1</v>
      </c>
      <c r="R132">
        <v>137.6</v>
      </c>
      <c r="S132">
        <v>143.6</v>
      </c>
      <c r="T132">
        <v>128.30000000000001</v>
      </c>
      <c r="U132">
        <v>121.4</v>
      </c>
      <c r="V132">
        <v>127.3</v>
      </c>
      <c r="W132" s="1">
        <v>127.3</v>
      </c>
      <c r="X132">
        <v>114.7</v>
      </c>
      <c r="Y132">
        <v>123.9</v>
      </c>
      <c r="Z132">
        <v>121.2</v>
      </c>
      <c r="AA132">
        <v>110.4</v>
      </c>
      <c r="AB132">
        <v>120.6</v>
      </c>
      <c r="AC132">
        <v>131.5</v>
      </c>
      <c r="AD132">
        <v>120.9</v>
      </c>
      <c r="AE132">
        <v>119.9</v>
      </c>
      <c r="AF132">
        <v>128.4</v>
      </c>
      <c r="AG132" s="2">
        <f>AVERAGE(All_India_Index_Upto_April23[[#This Row],[Food]:[General index]])</f>
        <v>194.67857142857136</v>
      </c>
      <c r="AH132" s="7">
        <f>DATE(All_India_Index_Upto_April23[[#This Row],[Year]],MONTH(1&amp;TRIM(All_India_Index_Upto_April23[[#This Row],[Month]])),1)</f>
        <v>42583</v>
      </c>
    </row>
    <row r="133" spans="1:34" x14ac:dyDescent="0.3">
      <c r="A133">
        <v>132</v>
      </c>
      <c r="B133" s="1" t="s">
        <v>34</v>
      </c>
      <c r="C133">
        <v>2016</v>
      </c>
      <c r="D133" s="1" t="s">
        <v>41</v>
      </c>
      <c r="E133" s="2">
        <v>1918.1000000000001</v>
      </c>
      <c r="F133">
        <v>129.30000000000001</v>
      </c>
      <c r="G133">
        <v>139.30000000000001</v>
      </c>
      <c r="H133">
        <v>131.6</v>
      </c>
      <c r="I133">
        <v>134.1</v>
      </c>
      <c r="J133">
        <v>116.9</v>
      </c>
      <c r="K133">
        <v>138.1</v>
      </c>
      <c r="L133">
        <v>159.1</v>
      </c>
      <c r="M133">
        <v>175.6</v>
      </c>
      <c r="N133">
        <v>112.9</v>
      </c>
      <c r="O133">
        <v>138.1</v>
      </c>
      <c r="P133">
        <v>125.5</v>
      </c>
      <c r="Q133">
        <v>139.5</v>
      </c>
      <c r="R133">
        <v>137.9</v>
      </c>
      <c r="S133">
        <v>140.19999999999999</v>
      </c>
      <c r="T133">
        <v>134.1</v>
      </c>
      <c r="U133">
        <v>128.19999999999999</v>
      </c>
      <c r="V133">
        <v>133.19999999999999</v>
      </c>
      <c r="W133" s="1">
        <v>127.3</v>
      </c>
      <c r="X133">
        <v>123.6</v>
      </c>
      <c r="Y133">
        <v>127.4</v>
      </c>
      <c r="Z133">
        <v>124.8</v>
      </c>
      <c r="AA133">
        <v>113.1</v>
      </c>
      <c r="AB133">
        <v>122.7</v>
      </c>
      <c r="AC133">
        <v>131.69999999999999</v>
      </c>
      <c r="AD133">
        <v>121.5</v>
      </c>
      <c r="AE133">
        <v>122.1</v>
      </c>
      <c r="AF133">
        <v>131.1</v>
      </c>
      <c r="AG133" s="2">
        <f>AVERAGE(All_India_Index_Upto_April23[[#This Row],[Food]:[General index]])</f>
        <v>195.60714285714289</v>
      </c>
      <c r="AH133" s="7">
        <f>DATE(All_India_Index_Upto_April23[[#This Row],[Year]],MONTH(1&amp;TRIM(All_India_Index_Upto_April23[[#This Row],[Month]])),1)</f>
        <v>42583</v>
      </c>
    </row>
    <row r="134" spans="1:34" x14ac:dyDescent="0.3">
      <c r="A134">
        <v>133</v>
      </c>
      <c r="B134" s="1" t="s">
        <v>18</v>
      </c>
      <c r="C134">
        <v>2016</v>
      </c>
      <c r="D134" s="1" t="s">
        <v>42</v>
      </c>
      <c r="E134" s="2">
        <v>1910.6000000000001</v>
      </c>
      <c r="F134">
        <v>130.80000000000001</v>
      </c>
      <c r="G134">
        <v>138.19999999999999</v>
      </c>
      <c r="H134">
        <v>130.5</v>
      </c>
      <c r="I134">
        <v>135.5</v>
      </c>
      <c r="J134">
        <v>120.2</v>
      </c>
      <c r="K134">
        <v>139.19999999999999</v>
      </c>
      <c r="L134">
        <v>149.5</v>
      </c>
      <c r="M134">
        <v>170.4</v>
      </c>
      <c r="N134">
        <v>113.1</v>
      </c>
      <c r="O134">
        <v>135.80000000000001</v>
      </c>
      <c r="P134">
        <v>128.80000000000001</v>
      </c>
      <c r="Q134">
        <v>141.5</v>
      </c>
      <c r="R134">
        <v>137.19999999999999</v>
      </c>
      <c r="S134">
        <v>139.9</v>
      </c>
      <c r="T134">
        <v>138.5</v>
      </c>
      <c r="U134">
        <v>133.5</v>
      </c>
      <c r="V134">
        <v>137.80000000000001</v>
      </c>
      <c r="W134" s="1">
        <v>139.12</v>
      </c>
      <c r="X134">
        <v>129.69999999999999</v>
      </c>
      <c r="Y134">
        <v>131.1</v>
      </c>
      <c r="Z134">
        <v>127.8</v>
      </c>
      <c r="AA134">
        <v>117</v>
      </c>
      <c r="AB134">
        <v>125.7</v>
      </c>
      <c r="AC134">
        <v>132.19999999999999</v>
      </c>
      <c r="AD134">
        <v>122.8</v>
      </c>
      <c r="AE134">
        <v>124.9</v>
      </c>
      <c r="AF134">
        <v>133.4</v>
      </c>
      <c r="AG134" s="2">
        <f>AVERAGE(All_India_Index_Upto_April23[[#This Row],[Food]:[General index]])</f>
        <v>196.9542857142857</v>
      </c>
      <c r="AH134" s="7">
        <f>DATE(All_India_Index_Upto_April23[[#This Row],[Year]],MONTH(1&amp;TRIM(All_India_Index_Upto_April23[[#This Row],[Month]])),1)</f>
        <v>42614</v>
      </c>
    </row>
    <row r="135" spans="1:34" x14ac:dyDescent="0.3">
      <c r="A135">
        <v>134</v>
      </c>
      <c r="B135" s="1" t="s">
        <v>33</v>
      </c>
      <c r="C135">
        <v>2016</v>
      </c>
      <c r="D135" s="1" t="s">
        <v>42</v>
      </c>
      <c r="E135" s="2">
        <v>1900.2999999999997</v>
      </c>
      <c r="F135">
        <v>128.1</v>
      </c>
      <c r="G135">
        <v>137.69999999999999</v>
      </c>
      <c r="H135">
        <v>130.6</v>
      </c>
      <c r="I135">
        <v>132.6</v>
      </c>
      <c r="J135">
        <v>111.9</v>
      </c>
      <c r="K135">
        <v>132.5</v>
      </c>
      <c r="L135">
        <v>152.9</v>
      </c>
      <c r="M135">
        <v>173.6</v>
      </c>
      <c r="N135">
        <v>115.1</v>
      </c>
      <c r="O135">
        <v>144.80000000000001</v>
      </c>
      <c r="P135">
        <v>122.1</v>
      </c>
      <c r="Q135">
        <v>138.80000000000001</v>
      </c>
      <c r="R135">
        <v>135.69999999999999</v>
      </c>
      <c r="S135">
        <v>143.9</v>
      </c>
      <c r="T135">
        <v>128.69999999999999</v>
      </c>
      <c r="U135">
        <v>121.6</v>
      </c>
      <c r="V135">
        <v>127.7</v>
      </c>
      <c r="W135" s="1">
        <v>127.9</v>
      </c>
      <c r="X135">
        <v>114.8</v>
      </c>
      <c r="Y135">
        <v>124.3</v>
      </c>
      <c r="Z135">
        <v>121.4</v>
      </c>
      <c r="AA135">
        <v>111.8</v>
      </c>
      <c r="AB135">
        <v>120.8</v>
      </c>
      <c r="AC135">
        <v>131.6</v>
      </c>
      <c r="AD135">
        <v>121.2</v>
      </c>
      <c r="AE135">
        <v>120.5</v>
      </c>
      <c r="AF135">
        <v>128</v>
      </c>
      <c r="AG135" s="2">
        <f>AVERAGE(All_India_Index_Upto_April23[[#This Row],[Food]:[General index]])</f>
        <v>192.88928571428571</v>
      </c>
      <c r="AH135" s="7">
        <f>DATE(All_India_Index_Upto_April23[[#This Row],[Year]],MONTH(1&amp;TRIM(All_India_Index_Upto_April23[[#This Row],[Month]])),1)</f>
        <v>42614</v>
      </c>
    </row>
    <row r="136" spans="1:34" x14ac:dyDescent="0.3">
      <c r="A136">
        <v>135</v>
      </c>
      <c r="B136" s="1" t="s">
        <v>34</v>
      </c>
      <c r="C136">
        <v>2016</v>
      </c>
      <c r="D136" s="1" t="s">
        <v>42</v>
      </c>
      <c r="E136" s="2">
        <v>1904.6999999999998</v>
      </c>
      <c r="F136">
        <v>129.9</v>
      </c>
      <c r="G136">
        <v>138</v>
      </c>
      <c r="H136">
        <v>130.5</v>
      </c>
      <c r="I136">
        <v>134.4</v>
      </c>
      <c r="J136">
        <v>117.2</v>
      </c>
      <c r="K136">
        <v>136.1</v>
      </c>
      <c r="L136">
        <v>150.69999999999999</v>
      </c>
      <c r="M136">
        <v>171.5</v>
      </c>
      <c r="N136">
        <v>113.8</v>
      </c>
      <c r="O136">
        <v>138.80000000000001</v>
      </c>
      <c r="P136">
        <v>126</v>
      </c>
      <c r="Q136">
        <v>140.19999999999999</v>
      </c>
      <c r="R136">
        <v>136.6</v>
      </c>
      <c r="S136">
        <v>141</v>
      </c>
      <c r="T136">
        <v>134.6</v>
      </c>
      <c r="U136">
        <v>128.6</v>
      </c>
      <c r="V136">
        <v>133.80000000000001</v>
      </c>
      <c r="W136" s="1">
        <v>127.9</v>
      </c>
      <c r="X136">
        <v>124.1</v>
      </c>
      <c r="Y136">
        <v>127.9</v>
      </c>
      <c r="Z136">
        <v>125.4</v>
      </c>
      <c r="AA136">
        <v>114.3</v>
      </c>
      <c r="AB136">
        <v>122.9</v>
      </c>
      <c r="AC136">
        <v>131.80000000000001</v>
      </c>
      <c r="AD136">
        <v>122.1</v>
      </c>
      <c r="AE136">
        <v>122.8</v>
      </c>
      <c r="AF136">
        <v>130.9</v>
      </c>
      <c r="AG136" s="2">
        <f>AVERAGE(All_India_Index_Upto_April23[[#This Row],[Food]:[General index]])</f>
        <v>194.87499999999997</v>
      </c>
      <c r="AH136" s="7">
        <f>DATE(All_India_Index_Upto_April23[[#This Row],[Year]],MONTH(1&amp;TRIM(All_India_Index_Upto_April23[[#This Row],[Month]])),1)</f>
        <v>42614</v>
      </c>
    </row>
    <row r="137" spans="1:34" x14ac:dyDescent="0.3">
      <c r="A137">
        <v>136</v>
      </c>
      <c r="B137" s="1" t="s">
        <v>18</v>
      </c>
      <c r="C137">
        <v>2016</v>
      </c>
      <c r="D137" s="1" t="s">
        <v>43</v>
      </c>
      <c r="E137" s="2">
        <v>1912.7000000000003</v>
      </c>
      <c r="F137">
        <v>131.30000000000001</v>
      </c>
      <c r="G137">
        <v>137.6</v>
      </c>
      <c r="H137">
        <v>130.1</v>
      </c>
      <c r="I137">
        <v>136</v>
      </c>
      <c r="J137">
        <v>120.8</v>
      </c>
      <c r="K137">
        <v>138.4</v>
      </c>
      <c r="L137">
        <v>149.19999999999999</v>
      </c>
      <c r="M137">
        <v>170.2</v>
      </c>
      <c r="N137">
        <v>113.4</v>
      </c>
      <c r="O137">
        <v>136.30000000000001</v>
      </c>
      <c r="P137">
        <v>128.69999999999999</v>
      </c>
      <c r="Q137">
        <v>142.4</v>
      </c>
      <c r="R137">
        <v>137.4</v>
      </c>
      <c r="S137">
        <v>140.9</v>
      </c>
      <c r="T137">
        <v>139.6</v>
      </c>
      <c r="U137">
        <v>134.30000000000001</v>
      </c>
      <c r="V137">
        <v>138.80000000000001</v>
      </c>
      <c r="W137" s="1">
        <v>139.12</v>
      </c>
      <c r="X137">
        <v>129.80000000000001</v>
      </c>
      <c r="Y137">
        <v>131.80000000000001</v>
      </c>
      <c r="Z137">
        <v>128.69999999999999</v>
      </c>
      <c r="AA137">
        <v>117.8</v>
      </c>
      <c r="AB137">
        <v>126.5</v>
      </c>
      <c r="AC137">
        <v>133</v>
      </c>
      <c r="AD137">
        <v>123</v>
      </c>
      <c r="AE137">
        <v>125.7</v>
      </c>
      <c r="AF137">
        <v>133.80000000000001</v>
      </c>
      <c r="AG137" s="2">
        <f>AVERAGE(All_India_Index_Upto_April23[[#This Row],[Food]:[General index]])</f>
        <v>197.40428571428575</v>
      </c>
      <c r="AH137" s="7">
        <f>DATE(All_India_Index_Upto_April23[[#This Row],[Year]],MONTH(1&amp;TRIM(All_India_Index_Upto_April23[[#This Row],[Month]])),1)</f>
        <v>42644</v>
      </c>
    </row>
    <row r="138" spans="1:34" x14ac:dyDescent="0.3">
      <c r="A138">
        <v>137</v>
      </c>
      <c r="B138" s="1" t="s">
        <v>33</v>
      </c>
      <c r="C138">
        <v>2016</v>
      </c>
      <c r="D138" s="1" t="s">
        <v>43</v>
      </c>
      <c r="E138" s="2">
        <v>1907.1999999999998</v>
      </c>
      <c r="F138">
        <v>128.69999999999999</v>
      </c>
      <c r="G138">
        <v>138.4</v>
      </c>
      <c r="H138">
        <v>130.30000000000001</v>
      </c>
      <c r="I138">
        <v>132.69999999999999</v>
      </c>
      <c r="J138">
        <v>112.5</v>
      </c>
      <c r="K138">
        <v>130.4</v>
      </c>
      <c r="L138">
        <v>155.1</v>
      </c>
      <c r="M138">
        <v>175.7</v>
      </c>
      <c r="N138">
        <v>115.4</v>
      </c>
      <c r="O138">
        <v>145.30000000000001</v>
      </c>
      <c r="P138">
        <v>122.5</v>
      </c>
      <c r="Q138">
        <v>139.6</v>
      </c>
      <c r="R138">
        <v>136.30000000000001</v>
      </c>
      <c r="S138">
        <v>144.30000000000001</v>
      </c>
      <c r="T138">
        <v>129.1</v>
      </c>
      <c r="U138">
        <v>121.9</v>
      </c>
      <c r="V138">
        <v>128</v>
      </c>
      <c r="W138" s="1">
        <v>128.69999999999999</v>
      </c>
      <c r="X138">
        <v>115.2</v>
      </c>
      <c r="Y138">
        <v>124.5</v>
      </c>
      <c r="Z138">
        <v>121.8</v>
      </c>
      <c r="AA138">
        <v>112.8</v>
      </c>
      <c r="AB138">
        <v>121.2</v>
      </c>
      <c r="AC138">
        <v>131.9</v>
      </c>
      <c r="AD138">
        <v>120.8</v>
      </c>
      <c r="AE138">
        <v>120.9</v>
      </c>
      <c r="AF138">
        <v>128.6</v>
      </c>
      <c r="AG138" s="2">
        <f>AVERAGE(All_India_Index_Upto_April23[[#This Row],[Food]:[General index]])</f>
        <v>193.56428571428569</v>
      </c>
      <c r="AH138" s="7">
        <f>DATE(All_India_Index_Upto_April23[[#This Row],[Year]],MONTH(1&amp;TRIM(All_India_Index_Upto_April23[[#This Row],[Month]])),1)</f>
        <v>42644</v>
      </c>
    </row>
    <row r="139" spans="1:34" x14ac:dyDescent="0.3">
      <c r="A139">
        <v>138</v>
      </c>
      <c r="B139" s="1" t="s">
        <v>34</v>
      </c>
      <c r="C139">
        <v>2016</v>
      </c>
      <c r="D139" s="1" t="s">
        <v>43</v>
      </c>
      <c r="E139" s="2">
        <v>1908.5999999999995</v>
      </c>
      <c r="F139">
        <v>130.5</v>
      </c>
      <c r="G139">
        <v>137.9</v>
      </c>
      <c r="H139">
        <v>130.19999999999999</v>
      </c>
      <c r="I139">
        <v>134.80000000000001</v>
      </c>
      <c r="J139">
        <v>117.8</v>
      </c>
      <c r="K139">
        <v>134.69999999999999</v>
      </c>
      <c r="L139">
        <v>151.19999999999999</v>
      </c>
      <c r="M139">
        <v>172.1</v>
      </c>
      <c r="N139">
        <v>114.1</v>
      </c>
      <c r="O139">
        <v>139.30000000000001</v>
      </c>
      <c r="P139">
        <v>126.1</v>
      </c>
      <c r="Q139">
        <v>141.1</v>
      </c>
      <c r="R139">
        <v>137</v>
      </c>
      <c r="S139">
        <v>141.80000000000001</v>
      </c>
      <c r="T139">
        <v>135.5</v>
      </c>
      <c r="U139">
        <v>129.1</v>
      </c>
      <c r="V139">
        <v>134.5</v>
      </c>
      <c r="W139" s="1">
        <v>128.69999999999999</v>
      </c>
      <c r="X139">
        <v>124.3</v>
      </c>
      <c r="Y139">
        <v>128.4</v>
      </c>
      <c r="Z139">
        <v>126.1</v>
      </c>
      <c r="AA139">
        <v>115.2</v>
      </c>
      <c r="AB139">
        <v>123.5</v>
      </c>
      <c r="AC139">
        <v>132.4</v>
      </c>
      <c r="AD139">
        <v>122.1</v>
      </c>
      <c r="AE139">
        <v>123.4</v>
      </c>
      <c r="AF139">
        <v>131.4</v>
      </c>
      <c r="AG139" s="2">
        <f>AVERAGE(All_India_Index_Upto_April23[[#This Row],[Food]:[General index]])</f>
        <v>195.42142857142852</v>
      </c>
      <c r="AH139" s="7">
        <f>DATE(All_India_Index_Upto_April23[[#This Row],[Year]],MONTH(1&amp;TRIM(All_India_Index_Upto_April23[[#This Row],[Month]])),1)</f>
        <v>42644</v>
      </c>
    </row>
    <row r="140" spans="1:34" x14ac:dyDescent="0.3">
      <c r="A140">
        <v>139</v>
      </c>
      <c r="B140" s="1" t="s">
        <v>18</v>
      </c>
      <c r="C140">
        <v>2016</v>
      </c>
      <c r="D140" s="1" t="s">
        <v>45</v>
      </c>
      <c r="E140" s="2">
        <v>1905.8</v>
      </c>
      <c r="F140">
        <v>132</v>
      </c>
      <c r="G140">
        <v>137.4</v>
      </c>
      <c r="H140">
        <v>130.6</v>
      </c>
      <c r="I140">
        <v>136.19999999999999</v>
      </c>
      <c r="J140">
        <v>121.1</v>
      </c>
      <c r="K140">
        <v>136.9</v>
      </c>
      <c r="L140">
        <v>141.80000000000001</v>
      </c>
      <c r="M140">
        <v>170</v>
      </c>
      <c r="N140">
        <v>113.4</v>
      </c>
      <c r="O140">
        <v>136.80000000000001</v>
      </c>
      <c r="P140">
        <v>128.69999999999999</v>
      </c>
      <c r="Q140">
        <v>143.1</v>
      </c>
      <c r="R140">
        <v>136.6</v>
      </c>
      <c r="S140">
        <v>141.19999999999999</v>
      </c>
      <c r="T140">
        <v>139.9</v>
      </c>
      <c r="U140">
        <v>134.5</v>
      </c>
      <c r="V140">
        <v>139.19999999999999</v>
      </c>
      <c r="W140" s="1">
        <v>139.12</v>
      </c>
      <c r="X140">
        <v>130.30000000000001</v>
      </c>
      <c r="Y140">
        <v>132.1</v>
      </c>
      <c r="Z140">
        <v>129.1</v>
      </c>
      <c r="AA140">
        <v>118.2</v>
      </c>
      <c r="AB140">
        <v>126.9</v>
      </c>
      <c r="AC140">
        <v>133.69999999999999</v>
      </c>
      <c r="AD140">
        <v>123.5</v>
      </c>
      <c r="AE140">
        <v>126.1</v>
      </c>
      <c r="AF140">
        <v>133.6</v>
      </c>
      <c r="AG140" s="2">
        <f>AVERAGE(All_India_Index_Upto_April23[[#This Row],[Food]:[General index]])</f>
        <v>197.06500000000003</v>
      </c>
      <c r="AH140" s="7">
        <f>DATE(All_India_Index_Upto_April23[[#This Row],[Year]],MONTH(1&amp;TRIM(All_India_Index_Upto_April23[[#This Row],[Month]])),1)</f>
        <v>42675</v>
      </c>
    </row>
    <row r="141" spans="1:34" x14ac:dyDescent="0.3">
      <c r="A141">
        <v>140</v>
      </c>
      <c r="B141" s="1" t="s">
        <v>33</v>
      </c>
      <c r="C141">
        <v>2016</v>
      </c>
      <c r="D141" s="1" t="s">
        <v>45</v>
      </c>
      <c r="E141" s="2">
        <v>1899.5</v>
      </c>
      <c r="F141">
        <v>130.19999999999999</v>
      </c>
      <c r="G141">
        <v>138.5</v>
      </c>
      <c r="H141">
        <v>134.1</v>
      </c>
      <c r="I141">
        <v>132.9</v>
      </c>
      <c r="J141">
        <v>112.6</v>
      </c>
      <c r="K141">
        <v>130.80000000000001</v>
      </c>
      <c r="L141">
        <v>142</v>
      </c>
      <c r="M141">
        <v>174.9</v>
      </c>
      <c r="N141">
        <v>115.6</v>
      </c>
      <c r="O141">
        <v>145.4</v>
      </c>
      <c r="P141">
        <v>122.7</v>
      </c>
      <c r="Q141">
        <v>140.30000000000001</v>
      </c>
      <c r="R141">
        <v>135.19999999999999</v>
      </c>
      <c r="S141">
        <v>144.30000000000001</v>
      </c>
      <c r="T141">
        <v>129.6</v>
      </c>
      <c r="U141">
        <v>122.1</v>
      </c>
      <c r="V141">
        <v>128.5</v>
      </c>
      <c r="W141" s="1">
        <v>129.1</v>
      </c>
      <c r="X141">
        <v>116.2</v>
      </c>
      <c r="Y141">
        <v>124.7</v>
      </c>
      <c r="Z141">
        <v>122.1</v>
      </c>
      <c r="AA141">
        <v>113.4</v>
      </c>
      <c r="AB141">
        <v>121.7</v>
      </c>
      <c r="AC141">
        <v>132.1</v>
      </c>
      <c r="AD141">
        <v>121.3</v>
      </c>
      <c r="AE141">
        <v>121.3</v>
      </c>
      <c r="AF141">
        <v>128.5</v>
      </c>
      <c r="AG141" s="2">
        <f>AVERAGE(All_India_Index_Upto_April23[[#This Row],[Food]:[General index]])</f>
        <v>193.20000000000002</v>
      </c>
      <c r="AH141" s="7">
        <f>DATE(All_India_Index_Upto_April23[[#This Row],[Year]],MONTH(1&amp;TRIM(All_India_Index_Upto_April23[[#This Row],[Month]])),1)</f>
        <v>42675</v>
      </c>
    </row>
    <row r="142" spans="1:34" x14ac:dyDescent="0.3">
      <c r="A142">
        <v>141</v>
      </c>
      <c r="B142" s="1" t="s">
        <v>34</v>
      </c>
      <c r="C142">
        <v>2016</v>
      </c>
      <c r="D142" s="1" t="s">
        <v>45</v>
      </c>
      <c r="E142" s="2">
        <v>1901.8</v>
      </c>
      <c r="F142">
        <v>131.4</v>
      </c>
      <c r="G142">
        <v>137.80000000000001</v>
      </c>
      <c r="H142">
        <v>132</v>
      </c>
      <c r="I142">
        <v>135</v>
      </c>
      <c r="J142">
        <v>118</v>
      </c>
      <c r="K142">
        <v>134.1</v>
      </c>
      <c r="L142">
        <v>141.9</v>
      </c>
      <c r="M142">
        <v>171.7</v>
      </c>
      <c r="N142">
        <v>114.1</v>
      </c>
      <c r="O142">
        <v>139.69999999999999</v>
      </c>
      <c r="P142">
        <v>126.2</v>
      </c>
      <c r="Q142">
        <v>141.80000000000001</v>
      </c>
      <c r="R142">
        <v>136.1</v>
      </c>
      <c r="S142">
        <v>142</v>
      </c>
      <c r="T142">
        <v>135.80000000000001</v>
      </c>
      <c r="U142">
        <v>129.30000000000001</v>
      </c>
      <c r="V142">
        <v>135</v>
      </c>
      <c r="W142" s="1">
        <v>129.1</v>
      </c>
      <c r="X142">
        <v>125</v>
      </c>
      <c r="Y142">
        <v>128.6</v>
      </c>
      <c r="Z142">
        <v>126.4</v>
      </c>
      <c r="AA142">
        <v>115.7</v>
      </c>
      <c r="AB142">
        <v>124</v>
      </c>
      <c r="AC142">
        <v>132.80000000000001</v>
      </c>
      <c r="AD142">
        <v>122.6</v>
      </c>
      <c r="AE142">
        <v>123.8</v>
      </c>
      <c r="AF142">
        <v>131.19999999999999</v>
      </c>
      <c r="AG142" s="2">
        <f>AVERAGE(All_India_Index_Upto_April23[[#This Row],[Food]:[General index]])</f>
        <v>195.10357142857146</v>
      </c>
      <c r="AH142" s="7">
        <f>DATE(All_India_Index_Upto_April23[[#This Row],[Year]],MONTH(1&amp;TRIM(All_India_Index_Upto_April23[[#This Row],[Month]])),1)</f>
        <v>42675</v>
      </c>
    </row>
    <row r="143" spans="1:34" x14ac:dyDescent="0.3">
      <c r="A143">
        <v>142</v>
      </c>
      <c r="B143" s="1" t="s">
        <v>18</v>
      </c>
      <c r="C143">
        <v>2016</v>
      </c>
      <c r="D143" s="1" t="s">
        <v>46</v>
      </c>
      <c r="E143" s="2">
        <v>1891.5</v>
      </c>
      <c r="F143">
        <v>132.6</v>
      </c>
      <c r="G143">
        <v>137.30000000000001</v>
      </c>
      <c r="H143">
        <v>131.6</v>
      </c>
      <c r="I143">
        <v>136.30000000000001</v>
      </c>
      <c r="J143">
        <v>121.6</v>
      </c>
      <c r="K143">
        <v>135.6</v>
      </c>
      <c r="L143">
        <v>127.5</v>
      </c>
      <c r="M143">
        <v>167.9</v>
      </c>
      <c r="N143">
        <v>113.8</v>
      </c>
      <c r="O143">
        <v>137.5</v>
      </c>
      <c r="P143">
        <v>129.1</v>
      </c>
      <c r="Q143">
        <v>143.6</v>
      </c>
      <c r="R143">
        <v>134.69999999999999</v>
      </c>
      <c r="S143">
        <v>142.4</v>
      </c>
      <c r="T143">
        <v>140.4</v>
      </c>
      <c r="U143">
        <v>135.19999999999999</v>
      </c>
      <c r="V143">
        <v>139.69999999999999</v>
      </c>
      <c r="W143" s="1">
        <v>139.12</v>
      </c>
      <c r="X143">
        <v>132</v>
      </c>
      <c r="Y143">
        <v>132.9</v>
      </c>
      <c r="Z143">
        <v>129.69999999999999</v>
      </c>
      <c r="AA143">
        <v>118.6</v>
      </c>
      <c r="AB143">
        <v>127.3</v>
      </c>
      <c r="AC143">
        <v>134.19999999999999</v>
      </c>
      <c r="AD143">
        <v>121.9</v>
      </c>
      <c r="AE143">
        <v>126.3</v>
      </c>
      <c r="AF143">
        <v>132.80000000000001</v>
      </c>
      <c r="AG143" s="2">
        <f>AVERAGE(All_India_Index_Upto_April23[[#This Row],[Food]:[General index]])</f>
        <v>196.18285714285713</v>
      </c>
      <c r="AH143" s="7">
        <f>DATE(All_India_Index_Upto_April23[[#This Row],[Year]],MONTH(1&amp;TRIM(All_India_Index_Upto_April23[[#This Row],[Month]])),1)</f>
        <v>42705</v>
      </c>
    </row>
    <row r="144" spans="1:34" x14ac:dyDescent="0.3">
      <c r="A144">
        <v>143</v>
      </c>
      <c r="B144" s="1" t="s">
        <v>33</v>
      </c>
      <c r="C144">
        <v>2016</v>
      </c>
      <c r="D144" s="1" t="s">
        <v>46</v>
      </c>
      <c r="E144" s="2">
        <v>1874.8</v>
      </c>
      <c r="F144">
        <v>131.6</v>
      </c>
      <c r="G144">
        <v>138.19999999999999</v>
      </c>
      <c r="H144">
        <v>134.9</v>
      </c>
      <c r="I144">
        <v>133.1</v>
      </c>
      <c r="J144">
        <v>113.5</v>
      </c>
      <c r="K144">
        <v>129.30000000000001</v>
      </c>
      <c r="L144">
        <v>121.1</v>
      </c>
      <c r="M144">
        <v>170.3</v>
      </c>
      <c r="N144">
        <v>115.5</v>
      </c>
      <c r="O144">
        <v>145.5</v>
      </c>
      <c r="P144">
        <v>123.1</v>
      </c>
      <c r="Q144">
        <v>140.9</v>
      </c>
      <c r="R144">
        <v>132.80000000000001</v>
      </c>
      <c r="S144">
        <v>145</v>
      </c>
      <c r="T144">
        <v>130</v>
      </c>
      <c r="U144">
        <v>122.2</v>
      </c>
      <c r="V144">
        <v>128.80000000000001</v>
      </c>
      <c r="W144" s="1">
        <v>128.5</v>
      </c>
      <c r="X144">
        <v>117.8</v>
      </c>
      <c r="Y144">
        <v>125</v>
      </c>
      <c r="Z144">
        <v>122.3</v>
      </c>
      <c r="AA144">
        <v>113.7</v>
      </c>
      <c r="AB144">
        <v>121.8</v>
      </c>
      <c r="AC144">
        <v>132.30000000000001</v>
      </c>
      <c r="AD144">
        <v>119.9</v>
      </c>
      <c r="AE144">
        <v>121.4</v>
      </c>
      <c r="AF144">
        <v>127.6</v>
      </c>
      <c r="AG144" s="2">
        <f>AVERAGE(All_India_Index_Upto_April23[[#This Row],[Food]:[General index]])</f>
        <v>191.46071428571432</v>
      </c>
      <c r="AH144" s="7">
        <f>DATE(All_India_Index_Upto_April23[[#This Row],[Year]],MONTH(1&amp;TRIM(All_India_Index_Upto_April23[[#This Row],[Month]])),1)</f>
        <v>42705</v>
      </c>
    </row>
    <row r="145" spans="1:34" x14ac:dyDescent="0.3">
      <c r="A145">
        <v>144</v>
      </c>
      <c r="B145" s="1" t="s">
        <v>34</v>
      </c>
      <c r="C145">
        <v>2016</v>
      </c>
      <c r="D145" s="1" t="s">
        <v>46</v>
      </c>
      <c r="E145" s="2">
        <v>1883.8</v>
      </c>
      <c r="F145">
        <v>132.30000000000001</v>
      </c>
      <c r="G145">
        <v>137.6</v>
      </c>
      <c r="H145">
        <v>132.9</v>
      </c>
      <c r="I145">
        <v>135.1</v>
      </c>
      <c r="J145">
        <v>118.6</v>
      </c>
      <c r="K145">
        <v>132.69999999999999</v>
      </c>
      <c r="L145">
        <v>125.3</v>
      </c>
      <c r="M145">
        <v>168.7</v>
      </c>
      <c r="N145">
        <v>114.4</v>
      </c>
      <c r="O145">
        <v>140.19999999999999</v>
      </c>
      <c r="P145">
        <v>126.6</v>
      </c>
      <c r="Q145">
        <v>142.30000000000001</v>
      </c>
      <c r="R145">
        <v>134</v>
      </c>
      <c r="S145">
        <v>143.1</v>
      </c>
      <c r="T145">
        <v>136.30000000000001</v>
      </c>
      <c r="U145">
        <v>129.80000000000001</v>
      </c>
      <c r="V145">
        <v>135.4</v>
      </c>
      <c r="W145" s="1">
        <v>128.5</v>
      </c>
      <c r="X145">
        <v>126.6</v>
      </c>
      <c r="Y145">
        <v>129.19999999999999</v>
      </c>
      <c r="Z145">
        <v>126.9</v>
      </c>
      <c r="AA145">
        <v>116</v>
      </c>
      <c r="AB145">
        <v>124.2</v>
      </c>
      <c r="AC145">
        <v>133.1</v>
      </c>
      <c r="AD145">
        <v>121.1</v>
      </c>
      <c r="AE145">
        <v>123.9</v>
      </c>
      <c r="AF145">
        <v>130.4</v>
      </c>
      <c r="AG145" s="2">
        <f>AVERAGE(All_India_Index_Upto_April23[[#This Row],[Food]:[General index]])</f>
        <v>193.89285714285711</v>
      </c>
      <c r="AH145" s="7">
        <f>DATE(All_India_Index_Upto_April23[[#This Row],[Year]],MONTH(1&amp;TRIM(All_India_Index_Upto_April23[[#This Row],[Month]])),1)</f>
        <v>42705</v>
      </c>
    </row>
    <row r="146" spans="1:34" x14ac:dyDescent="0.3">
      <c r="A146">
        <v>145</v>
      </c>
      <c r="B146" s="1" t="s">
        <v>18</v>
      </c>
      <c r="C146">
        <v>2017</v>
      </c>
      <c r="D146" s="1" t="s">
        <v>19</v>
      </c>
      <c r="E146" s="2">
        <v>1880.4</v>
      </c>
      <c r="F146">
        <v>133.1</v>
      </c>
      <c r="G146">
        <v>137.80000000000001</v>
      </c>
      <c r="H146">
        <v>131.9</v>
      </c>
      <c r="I146">
        <v>136.69999999999999</v>
      </c>
      <c r="J146">
        <v>122</v>
      </c>
      <c r="K146">
        <v>136</v>
      </c>
      <c r="L146">
        <v>119.8</v>
      </c>
      <c r="M146">
        <v>161.69999999999999</v>
      </c>
      <c r="N146">
        <v>114.8</v>
      </c>
      <c r="O146">
        <v>136.9</v>
      </c>
      <c r="P146">
        <v>129</v>
      </c>
      <c r="Q146">
        <v>143.9</v>
      </c>
      <c r="R146">
        <v>133.69999999999999</v>
      </c>
      <c r="S146">
        <v>143.1</v>
      </c>
      <c r="T146">
        <v>140.69999999999999</v>
      </c>
      <c r="U146">
        <v>135.80000000000001</v>
      </c>
      <c r="V146">
        <v>140</v>
      </c>
      <c r="W146" s="1">
        <v>139.12</v>
      </c>
      <c r="X146">
        <v>132.1</v>
      </c>
      <c r="Y146">
        <v>133.19999999999999</v>
      </c>
      <c r="Z146">
        <v>129.9</v>
      </c>
      <c r="AA146">
        <v>119.1</v>
      </c>
      <c r="AB146">
        <v>127</v>
      </c>
      <c r="AC146">
        <v>134.6</v>
      </c>
      <c r="AD146">
        <v>122.3</v>
      </c>
      <c r="AE146">
        <v>126.6</v>
      </c>
      <c r="AF146">
        <v>132.4</v>
      </c>
      <c r="AG146" s="2">
        <f>AVERAGE(All_India_Index_Upto_April23[[#This Row],[Food]:[General index]])</f>
        <v>195.4864285714286</v>
      </c>
      <c r="AH146" s="7">
        <f>DATE(All_India_Index_Upto_April23[[#This Row],[Year]],MONTH(1&amp;TRIM(All_India_Index_Upto_April23[[#This Row],[Month]])),1)</f>
        <v>42736</v>
      </c>
    </row>
    <row r="147" spans="1:34" x14ac:dyDescent="0.3">
      <c r="A147">
        <v>146</v>
      </c>
      <c r="B147" s="1" t="s">
        <v>33</v>
      </c>
      <c r="C147">
        <v>2017</v>
      </c>
      <c r="D147" s="1" t="s">
        <v>19</v>
      </c>
      <c r="E147" s="2">
        <v>1858.8</v>
      </c>
      <c r="F147">
        <v>132.19999999999999</v>
      </c>
      <c r="G147">
        <v>138.9</v>
      </c>
      <c r="H147">
        <v>132.6</v>
      </c>
      <c r="I147">
        <v>133.1</v>
      </c>
      <c r="J147">
        <v>114</v>
      </c>
      <c r="K147">
        <v>129.6</v>
      </c>
      <c r="L147">
        <v>118.7</v>
      </c>
      <c r="M147">
        <v>155.1</v>
      </c>
      <c r="N147">
        <v>117.3</v>
      </c>
      <c r="O147">
        <v>144.9</v>
      </c>
      <c r="P147">
        <v>123.2</v>
      </c>
      <c r="Q147">
        <v>141.6</v>
      </c>
      <c r="R147">
        <v>132</v>
      </c>
      <c r="S147">
        <v>145.6</v>
      </c>
      <c r="T147">
        <v>130.19999999999999</v>
      </c>
      <c r="U147">
        <v>122.3</v>
      </c>
      <c r="V147">
        <v>129</v>
      </c>
      <c r="W147" s="1">
        <v>129.6</v>
      </c>
      <c r="X147">
        <v>118</v>
      </c>
      <c r="Y147">
        <v>125.1</v>
      </c>
      <c r="Z147">
        <v>122.6</v>
      </c>
      <c r="AA147">
        <v>115.2</v>
      </c>
      <c r="AB147">
        <v>122</v>
      </c>
      <c r="AC147">
        <v>132.4</v>
      </c>
      <c r="AD147">
        <v>120.9</v>
      </c>
      <c r="AE147">
        <v>122.1</v>
      </c>
      <c r="AF147">
        <v>127.8</v>
      </c>
      <c r="AG147" s="2">
        <f>AVERAGE(All_India_Index_Upto_April23[[#This Row],[Food]:[General index]])</f>
        <v>190.52857142857144</v>
      </c>
      <c r="AH147" s="7">
        <f>DATE(All_India_Index_Upto_April23[[#This Row],[Year]],MONTH(1&amp;TRIM(All_India_Index_Upto_April23[[#This Row],[Month]])),1)</f>
        <v>42736</v>
      </c>
    </row>
    <row r="148" spans="1:34" x14ac:dyDescent="0.3">
      <c r="A148">
        <v>147</v>
      </c>
      <c r="B148" s="1" t="s">
        <v>34</v>
      </c>
      <c r="C148">
        <v>2017</v>
      </c>
      <c r="D148" s="1" t="s">
        <v>19</v>
      </c>
      <c r="E148" s="2">
        <v>1871.0999999999995</v>
      </c>
      <c r="F148">
        <v>132.80000000000001</v>
      </c>
      <c r="G148">
        <v>138.19999999999999</v>
      </c>
      <c r="H148">
        <v>132.19999999999999</v>
      </c>
      <c r="I148">
        <v>135.4</v>
      </c>
      <c r="J148">
        <v>119.1</v>
      </c>
      <c r="K148">
        <v>133</v>
      </c>
      <c r="L148">
        <v>119.4</v>
      </c>
      <c r="M148">
        <v>159.5</v>
      </c>
      <c r="N148">
        <v>115.6</v>
      </c>
      <c r="O148">
        <v>139.6</v>
      </c>
      <c r="P148">
        <v>126.6</v>
      </c>
      <c r="Q148">
        <v>142.80000000000001</v>
      </c>
      <c r="R148">
        <v>133.1</v>
      </c>
      <c r="S148">
        <v>143.80000000000001</v>
      </c>
      <c r="T148">
        <v>136.6</v>
      </c>
      <c r="U148">
        <v>130.19999999999999</v>
      </c>
      <c r="V148">
        <v>135.6</v>
      </c>
      <c r="W148" s="1">
        <v>129.6</v>
      </c>
      <c r="X148">
        <v>126.8</v>
      </c>
      <c r="Y148">
        <v>129.4</v>
      </c>
      <c r="Z148">
        <v>127.1</v>
      </c>
      <c r="AA148">
        <v>117</v>
      </c>
      <c r="AB148">
        <v>124.2</v>
      </c>
      <c r="AC148">
        <v>133.30000000000001</v>
      </c>
      <c r="AD148">
        <v>121.7</v>
      </c>
      <c r="AE148">
        <v>124.4</v>
      </c>
      <c r="AF148">
        <v>130.30000000000001</v>
      </c>
      <c r="AG148" s="2">
        <f>AVERAGE(All_India_Index_Upto_April23[[#This Row],[Food]:[General index]])</f>
        <v>193.15714285714284</v>
      </c>
      <c r="AH148" s="7">
        <f>DATE(All_India_Index_Upto_April23[[#This Row],[Year]],MONTH(1&amp;TRIM(All_India_Index_Upto_April23[[#This Row],[Month]])),1)</f>
        <v>42736</v>
      </c>
    </row>
    <row r="149" spans="1:34" x14ac:dyDescent="0.3">
      <c r="A149">
        <v>148</v>
      </c>
      <c r="B149" s="1" t="s">
        <v>18</v>
      </c>
      <c r="C149">
        <v>2017</v>
      </c>
      <c r="D149" s="1" t="s">
        <v>35</v>
      </c>
      <c r="E149" s="2">
        <v>1878.2000000000003</v>
      </c>
      <c r="F149">
        <v>133.30000000000001</v>
      </c>
      <c r="G149">
        <v>138.30000000000001</v>
      </c>
      <c r="H149">
        <v>129.30000000000001</v>
      </c>
      <c r="I149">
        <v>137.19999999999999</v>
      </c>
      <c r="J149">
        <v>122.1</v>
      </c>
      <c r="K149">
        <v>138.69999999999999</v>
      </c>
      <c r="L149">
        <v>119.1</v>
      </c>
      <c r="M149">
        <v>156.9</v>
      </c>
      <c r="N149">
        <v>116.2</v>
      </c>
      <c r="O149">
        <v>136</v>
      </c>
      <c r="P149">
        <v>129.4</v>
      </c>
      <c r="Q149">
        <v>144.4</v>
      </c>
      <c r="R149">
        <v>133.6</v>
      </c>
      <c r="S149">
        <v>143.69999999999999</v>
      </c>
      <c r="T149">
        <v>140.9</v>
      </c>
      <c r="U149">
        <v>135.80000000000001</v>
      </c>
      <c r="V149">
        <v>140.19999999999999</v>
      </c>
      <c r="W149" s="1">
        <v>139.12</v>
      </c>
      <c r="X149">
        <v>133.19999999999999</v>
      </c>
      <c r="Y149">
        <v>133.6</v>
      </c>
      <c r="Z149">
        <v>130.1</v>
      </c>
      <c r="AA149">
        <v>119.5</v>
      </c>
      <c r="AB149">
        <v>127.7</v>
      </c>
      <c r="AC149">
        <v>134.9</v>
      </c>
      <c r="AD149">
        <v>123.2</v>
      </c>
      <c r="AE149">
        <v>127</v>
      </c>
      <c r="AF149">
        <v>132.6</v>
      </c>
      <c r="AG149" s="2">
        <f>AVERAGE(All_India_Index_Upto_April23[[#This Row],[Food]:[General index]])</f>
        <v>195.50785714285715</v>
      </c>
      <c r="AH149" s="7">
        <f>DATE(All_India_Index_Upto_April23[[#This Row],[Year]],MONTH(1&amp;TRIM(All_India_Index_Upto_April23[[#This Row],[Month]])),1)</f>
        <v>42767</v>
      </c>
    </row>
    <row r="150" spans="1:34" x14ac:dyDescent="0.3">
      <c r="A150">
        <v>149</v>
      </c>
      <c r="B150" s="1" t="s">
        <v>33</v>
      </c>
      <c r="C150">
        <v>2017</v>
      </c>
      <c r="D150" s="1" t="s">
        <v>35</v>
      </c>
      <c r="E150" s="2">
        <v>1851.6000000000001</v>
      </c>
      <c r="F150">
        <v>132.80000000000001</v>
      </c>
      <c r="G150">
        <v>139.80000000000001</v>
      </c>
      <c r="H150">
        <v>129.30000000000001</v>
      </c>
      <c r="I150">
        <v>133.5</v>
      </c>
      <c r="J150">
        <v>114.3</v>
      </c>
      <c r="K150">
        <v>131.4</v>
      </c>
      <c r="L150">
        <v>120.2</v>
      </c>
      <c r="M150">
        <v>143.1</v>
      </c>
      <c r="N150">
        <v>119.5</v>
      </c>
      <c r="O150">
        <v>144</v>
      </c>
      <c r="P150">
        <v>123.4</v>
      </c>
      <c r="Q150">
        <v>141.9</v>
      </c>
      <c r="R150">
        <v>132.1</v>
      </c>
      <c r="S150">
        <v>146.30000000000001</v>
      </c>
      <c r="T150">
        <v>130.5</v>
      </c>
      <c r="U150">
        <v>122.5</v>
      </c>
      <c r="V150">
        <v>129.30000000000001</v>
      </c>
      <c r="W150" s="1">
        <v>130.5</v>
      </c>
      <c r="X150">
        <v>119.2</v>
      </c>
      <c r="Y150">
        <v>125.3</v>
      </c>
      <c r="Z150">
        <v>122.9</v>
      </c>
      <c r="AA150">
        <v>115.5</v>
      </c>
      <c r="AB150">
        <v>122.2</v>
      </c>
      <c r="AC150">
        <v>132.4</v>
      </c>
      <c r="AD150">
        <v>121.7</v>
      </c>
      <c r="AE150">
        <v>122.4</v>
      </c>
      <c r="AF150">
        <v>128.19999999999999</v>
      </c>
      <c r="AG150" s="2">
        <f>AVERAGE(All_India_Index_Upto_April23[[#This Row],[Food]:[General index]])</f>
        <v>190.20714285714283</v>
      </c>
      <c r="AH150" s="7">
        <f>DATE(All_India_Index_Upto_April23[[#This Row],[Year]],MONTH(1&amp;TRIM(All_India_Index_Upto_April23[[#This Row],[Month]])),1)</f>
        <v>42767</v>
      </c>
    </row>
    <row r="151" spans="1:34" x14ac:dyDescent="0.3">
      <c r="A151">
        <v>150</v>
      </c>
      <c r="B151" s="1" t="s">
        <v>34</v>
      </c>
      <c r="C151">
        <v>2017</v>
      </c>
      <c r="D151" s="1" t="s">
        <v>35</v>
      </c>
      <c r="E151" s="2">
        <v>1866.7000000000003</v>
      </c>
      <c r="F151">
        <v>133.1</v>
      </c>
      <c r="G151">
        <v>138.80000000000001</v>
      </c>
      <c r="H151">
        <v>129.30000000000001</v>
      </c>
      <c r="I151">
        <v>135.80000000000001</v>
      </c>
      <c r="J151">
        <v>119.2</v>
      </c>
      <c r="K151">
        <v>135.30000000000001</v>
      </c>
      <c r="L151">
        <v>119.5</v>
      </c>
      <c r="M151">
        <v>152.19999999999999</v>
      </c>
      <c r="N151">
        <v>117.3</v>
      </c>
      <c r="O151">
        <v>138.69999999999999</v>
      </c>
      <c r="P151">
        <v>126.9</v>
      </c>
      <c r="Q151">
        <v>143.19999999999999</v>
      </c>
      <c r="R151">
        <v>133</v>
      </c>
      <c r="S151">
        <v>144.4</v>
      </c>
      <c r="T151">
        <v>136.80000000000001</v>
      </c>
      <c r="U151">
        <v>130.30000000000001</v>
      </c>
      <c r="V151">
        <v>135.9</v>
      </c>
      <c r="W151" s="1">
        <v>130.5</v>
      </c>
      <c r="X151">
        <v>127.9</v>
      </c>
      <c r="Y151">
        <v>129.69999999999999</v>
      </c>
      <c r="Z151">
        <v>127.4</v>
      </c>
      <c r="AA151">
        <v>117.4</v>
      </c>
      <c r="AB151">
        <v>124.6</v>
      </c>
      <c r="AC151">
        <v>133.4</v>
      </c>
      <c r="AD151">
        <v>122.6</v>
      </c>
      <c r="AE151">
        <v>124.8</v>
      </c>
      <c r="AF151">
        <v>130.6</v>
      </c>
      <c r="AG151" s="2">
        <f>AVERAGE(All_India_Index_Upto_April23[[#This Row],[Food]:[General index]])</f>
        <v>193.04642857142858</v>
      </c>
      <c r="AH151" s="7">
        <f>DATE(All_India_Index_Upto_April23[[#This Row],[Year]],MONTH(1&amp;TRIM(All_India_Index_Upto_April23[[#This Row],[Month]])),1)</f>
        <v>42767</v>
      </c>
    </row>
    <row r="152" spans="1:34" x14ac:dyDescent="0.3">
      <c r="A152">
        <v>151</v>
      </c>
      <c r="B152" s="1" t="s">
        <v>18</v>
      </c>
      <c r="C152">
        <v>2017</v>
      </c>
      <c r="D152" s="1" t="s">
        <v>36</v>
      </c>
      <c r="E152" s="2">
        <v>1872.7000000000003</v>
      </c>
      <c r="F152">
        <v>133.6</v>
      </c>
      <c r="G152">
        <v>138.80000000000001</v>
      </c>
      <c r="H152">
        <v>128.80000000000001</v>
      </c>
      <c r="I152">
        <v>137.19999999999999</v>
      </c>
      <c r="J152">
        <v>121.6</v>
      </c>
      <c r="K152">
        <v>139.69999999999999</v>
      </c>
      <c r="L152">
        <v>119.7</v>
      </c>
      <c r="M152">
        <v>148</v>
      </c>
      <c r="N152">
        <v>116.9</v>
      </c>
      <c r="O152">
        <v>135.6</v>
      </c>
      <c r="P152">
        <v>129.80000000000001</v>
      </c>
      <c r="Q152">
        <v>145.4</v>
      </c>
      <c r="R152">
        <v>133.4</v>
      </c>
      <c r="S152">
        <v>144.19999999999999</v>
      </c>
      <c r="T152">
        <v>141.6</v>
      </c>
      <c r="U152">
        <v>136.19999999999999</v>
      </c>
      <c r="V152">
        <v>140.80000000000001</v>
      </c>
      <c r="W152" s="1">
        <v>139.12</v>
      </c>
      <c r="X152">
        <v>134.19999999999999</v>
      </c>
      <c r="Y152">
        <v>134.1</v>
      </c>
      <c r="Z152">
        <v>130.6</v>
      </c>
      <c r="AA152">
        <v>119.8</v>
      </c>
      <c r="AB152">
        <v>128.30000000000001</v>
      </c>
      <c r="AC152">
        <v>135.19999999999999</v>
      </c>
      <c r="AD152">
        <v>123.3</v>
      </c>
      <c r="AE152">
        <v>127.4</v>
      </c>
      <c r="AF152">
        <v>132.80000000000001</v>
      </c>
      <c r="AG152" s="2">
        <f>AVERAGE(All_India_Index_Upto_April23[[#This Row],[Food]:[General index]])</f>
        <v>195.31500000000003</v>
      </c>
      <c r="AH152" s="7">
        <f>DATE(All_India_Index_Upto_April23[[#This Row],[Year]],MONTH(1&amp;TRIM(All_India_Index_Upto_April23[[#This Row],[Month]])),1)</f>
        <v>42795</v>
      </c>
    </row>
    <row r="153" spans="1:34" x14ac:dyDescent="0.3">
      <c r="A153">
        <v>152</v>
      </c>
      <c r="B153" s="1" t="s">
        <v>33</v>
      </c>
      <c r="C153">
        <v>2017</v>
      </c>
      <c r="D153" s="1" t="s">
        <v>36</v>
      </c>
      <c r="E153" s="2">
        <v>1853.1999999999998</v>
      </c>
      <c r="F153">
        <v>132.69999999999999</v>
      </c>
      <c r="G153">
        <v>139.4</v>
      </c>
      <c r="H153">
        <v>128.4</v>
      </c>
      <c r="I153">
        <v>134.9</v>
      </c>
      <c r="J153">
        <v>114</v>
      </c>
      <c r="K153">
        <v>136.80000000000001</v>
      </c>
      <c r="L153">
        <v>122.2</v>
      </c>
      <c r="M153">
        <v>135.80000000000001</v>
      </c>
      <c r="N153">
        <v>120.3</v>
      </c>
      <c r="O153">
        <v>142.6</v>
      </c>
      <c r="P153">
        <v>123.6</v>
      </c>
      <c r="Q153">
        <v>142.4</v>
      </c>
      <c r="R153">
        <v>132.6</v>
      </c>
      <c r="S153">
        <v>147.5</v>
      </c>
      <c r="T153">
        <v>130.80000000000001</v>
      </c>
      <c r="U153">
        <v>122.8</v>
      </c>
      <c r="V153">
        <v>129.6</v>
      </c>
      <c r="W153" s="1">
        <v>131.1</v>
      </c>
      <c r="X153">
        <v>120.8</v>
      </c>
      <c r="Y153">
        <v>125.6</v>
      </c>
      <c r="Z153">
        <v>123.1</v>
      </c>
      <c r="AA153">
        <v>115.6</v>
      </c>
      <c r="AB153">
        <v>122.4</v>
      </c>
      <c r="AC153">
        <v>132.80000000000001</v>
      </c>
      <c r="AD153">
        <v>121.7</v>
      </c>
      <c r="AE153">
        <v>122.6</v>
      </c>
      <c r="AF153">
        <v>128.69999999999999</v>
      </c>
      <c r="AG153" s="2">
        <f>AVERAGE(All_India_Index_Upto_April23[[#This Row],[Food]:[General index]])</f>
        <v>190.50000000000006</v>
      </c>
      <c r="AH153" s="7">
        <f>DATE(All_India_Index_Upto_April23[[#This Row],[Year]],MONTH(1&amp;TRIM(All_India_Index_Upto_April23[[#This Row],[Month]])),1)</f>
        <v>42795</v>
      </c>
    </row>
    <row r="154" spans="1:34" x14ac:dyDescent="0.3">
      <c r="A154">
        <v>153</v>
      </c>
      <c r="B154" s="1" t="s">
        <v>34</v>
      </c>
      <c r="C154">
        <v>2017</v>
      </c>
      <c r="D154" s="1" t="s">
        <v>36</v>
      </c>
      <c r="E154" s="2">
        <v>1864</v>
      </c>
      <c r="F154">
        <v>133.30000000000001</v>
      </c>
      <c r="G154">
        <v>139</v>
      </c>
      <c r="H154">
        <v>128.6</v>
      </c>
      <c r="I154">
        <v>136.30000000000001</v>
      </c>
      <c r="J154">
        <v>118.8</v>
      </c>
      <c r="K154">
        <v>138.30000000000001</v>
      </c>
      <c r="L154">
        <v>120.5</v>
      </c>
      <c r="M154">
        <v>143.9</v>
      </c>
      <c r="N154">
        <v>118</v>
      </c>
      <c r="O154">
        <v>137.9</v>
      </c>
      <c r="P154">
        <v>127.2</v>
      </c>
      <c r="Q154">
        <v>144</v>
      </c>
      <c r="R154">
        <v>133.1</v>
      </c>
      <c r="S154">
        <v>145.1</v>
      </c>
      <c r="T154">
        <v>137.30000000000001</v>
      </c>
      <c r="U154">
        <v>130.6</v>
      </c>
      <c r="V154">
        <v>136.4</v>
      </c>
      <c r="W154" s="1">
        <v>131.1</v>
      </c>
      <c r="X154">
        <v>129.1</v>
      </c>
      <c r="Y154">
        <v>130.1</v>
      </c>
      <c r="Z154">
        <v>127.8</v>
      </c>
      <c r="AA154">
        <v>117.6</v>
      </c>
      <c r="AB154">
        <v>125</v>
      </c>
      <c r="AC154">
        <v>133.80000000000001</v>
      </c>
      <c r="AD154">
        <v>122.6</v>
      </c>
      <c r="AE154">
        <v>125.1</v>
      </c>
      <c r="AF154">
        <v>130.9</v>
      </c>
      <c r="AG154" s="2">
        <f>AVERAGE(All_India_Index_Upto_April23[[#This Row],[Food]:[General index]])</f>
        <v>193.0500000000001</v>
      </c>
      <c r="AH154" s="7">
        <f>DATE(All_India_Index_Upto_April23[[#This Row],[Year]],MONTH(1&amp;TRIM(All_India_Index_Upto_April23[[#This Row],[Month]])),1)</f>
        <v>42795</v>
      </c>
    </row>
    <row r="155" spans="1:34" x14ac:dyDescent="0.3">
      <c r="A155">
        <v>154</v>
      </c>
      <c r="B155" s="1" t="s">
        <v>18</v>
      </c>
      <c r="C155">
        <v>2017</v>
      </c>
      <c r="D155" s="1" t="s">
        <v>37</v>
      </c>
      <c r="E155" s="2">
        <v>1870.7</v>
      </c>
      <c r="F155">
        <v>133.19999999999999</v>
      </c>
      <c r="G155">
        <v>138.69999999999999</v>
      </c>
      <c r="H155">
        <v>127.1</v>
      </c>
      <c r="I155">
        <v>137.69999999999999</v>
      </c>
      <c r="J155">
        <v>121.3</v>
      </c>
      <c r="K155">
        <v>141.80000000000001</v>
      </c>
      <c r="L155">
        <v>121.5</v>
      </c>
      <c r="M155">
        <v>144.5</v>
      </c>
      <c r="N155">
        <v>117.4</v>
      </c>
      <c r="O155">
        <v>134.1</v>
      </c>
      <c r="P155">
        <v>130</v>
      </c>
      <c r="Q155">
        <v>145.5</v>
      </c>
      <c r="R155">
        <v>133.5</v>
      </c>
      <c r="S155">
        <v>144.4</v>
      </c>
      <c r="T155">
        <v>142.4</v>
      </c>
      <c r="U155">
        <v>136.80000000000001</v>
      </c>
      <c r="V155">
        <v>141.6</v>
      </c>
      <c r="W155" s="1">
        <v>139.12</v>
      </c>
      <c r="X155">
        <v>135</v>
      </c>
      <c r="Y155">
        <v>134.30000000000001</v>
      </c>
      <c r="Z155">
        <v>131</v>
      </c>
      <c r="AA155">
        <v>119.2</v>
      </c>
      <c r="AB155">
        <v>128.30000000000001</v>
      </c>
      <c r="AC155">
        <v>135.69999999999999</v>
      </c>
      <c r="AD155">
        <v>123.7</v>
      </c>
      <c r="AE155">
        <v>127.5</v>
      </c>
      <c r="AF155">
        <v>132.9</v>
      </c>
      <c r="AG155" s="2">
        <f>AVERAGE(All_India_Index_Upto_April23[[#This Row],[Food]:[General index]])</f>
        <v>195.31857142857143</v>
      </c>
      <c r="AH155" s="7">
        <f>DATE(All_India_Index_Upto_April23[[#This Row],[Year]],MONTH(1&amp;TRIM(All_India_Index_Upto_April23[[#This Row],[Month]])),1)</f>
        <v>42826</v>
      </c>
    </row>
    <row r="156" spans="1:34" x14ac:dyDescent="0.3">
      <c r="A156">
        <v>155</v>
      </c>
      <c r="B156" s="1" t="s">
        <v>33</v>
      </c>
      <c r="C156">
        <v>2017</v>
      </c>
      <c r="D156" s="1" t="s">
        <v>37</v>
      </c>
      <c r="E156" s="2">
        <v>1856.1</v>
      </c>
      <c r="F156">
        <v>132.69999999999999</v>
      </c>
      <c r="G156">
        <v>140.6</v>
      </c>
      <c r="H156">
        <v>124.5</v>
      </c>
      <c r="I156">
        <v>136.30000000000001</v>
      </c>
      <c r="J156">
        <v>113.5</v>
      </c>
      <c r="K156">
        <v>137.69999999999999</v>
      </c>
      <c r="L156">
        <v>127.1</v>
      </c>
      <c r="M156">
        <v>133.80000000000001</v>
      </c>
      <c r="N156">
        <v>120.8</v>
      </c>
      <c r="O156">
        <v>141.30000000000001</v>
      </c>
      <c r="P156">
        <v>123.8</v>
      </c>
      <c r="Q156">
        <v>142.6</v>
      </c>
      <c r="R156">
        <v>133.4</v>
      </c>
      <c r="S156">
        <v>148</v>
      </c>
      <c r="T156">
        <v>131.19999999999999</v>
      </c>
      <c r="U156">
        <v>123</v>
      </c>
      <c r="V156">
        <v>130</v>
      </c>
      <c r="W156" s="1">
        <v>131.69999999999999</v>
      </c>
      <c r="X156">
        <v>121.4</v>
      </c>
      <c r="Y156">
        <v>126</v>
      </c>
      <c r="Z156">
        <v>123.4</v>
      </c>
      <c r="AA156">
        <v>114.3</v>
      </c>
      <c r="AB156">
        <v>122.6</v>
      </c>
      <c r="AC156">
        <v>133.6</v>
      </c>
      <c r="AD156">
        <v>122.2</v>
      </c>
      <c r="AE156">
        <v>122.5</v>
      </c>
      <c r="AF156">
        <v>129.1</v>
      </c>
      <c r="AG156" s="2">
        <f>AVERAGE(All_India_Index_Upto_April23[[#This Row],[Food]:[General index]])</f>
        <v>190.82857142857145</v>
      </c>
      <c r="AH156" s="7">
        <f>DATE(All_India_Index_Upto_April23[[#This Row],[Year]],MONTH(1&amp;TRIM(All_India_Index_Upto_April23[[#This Row],[Month]])),1)</f>
        <v>42826</v>
      </c>
    </row>
    <row r="157" spans="1:34" x14ac:dyDescent="0.3">
      <c r="A157">
        <v>156</v>
      </c>
      <c r="B157" s="1" t="s">
        <v>34</v>
      </c>
      <c r="C157">
        <v>2017</v>
      </c>
      <c r="D157" s="1" t="s">
        <v>37</v>
      </c>
      <c r="E157" s="2">
        <v>1863.8000000000002</v>
      </c>
      <c r="F157">
        <v>133</v>
      </c>
      <c r="G157">
        <v>139.4</v>
      </c>
      <c r="H157">
        <v>126.1</v>
      </c>
      <c r="I157">
        <v>137.19999999999999</v>
      </c>
      <c r="J157">
        <v>118.4</v>
      </c>
      <c r="K157">
        <v>139.9</v>
      </c>
      <c r="L157">
        <v>123.4</v>
      </c>
      <c r="M157">
        <v>140.9</v>
      </c>
      <c r="N157">
        <v>118.5</v>
      </c>
      <c r="O157">
        <v>136.5</v>
      </c>
      <c r="P157">
        <v>127.4</v>
      </c>
      <c r="Q157">
        <v>144.19999999999999</v>
      </c>
      <c r="R157">
        <v>133.5</v>
      </c>
      <c r="S157">
        <v>145.4</v>
      </c>
      <c r="T157">
        <v>138</v>
      </c>
      <c r="U157">
        <v>131.1</v>
      </c>
      <c r="V157">
        <v>137</v>
      </c>
      <c r="W157" s="1">
        <v>131.69999999999999</v>
      </c>
      <c r="X157">
        <v>129.80000000000001</v>
      </c>
      <c r="Y157">
        <v>130.4</v>
      </c>
      <c r="Z157">
        <v>128.1</v>
      </c>
      <c r="AA157">
        <v>116.6</v>
      </c>
      <c r="AB157">
        <v>125.1</v>
      </c>
      <c r="AC157">
        <v>134.5</v>
      </c>
      <c r="AD157">
        <v>123.1</v>
      </c>
      <c r="AE157">
        <v>125.1</v>
      </c>
      <c r="AF157">
        <v>131.1</v>
      </c>
      <c r="AG157" s="2">
        <f>AVERAGE(All_India_Index_Upto_April23[[#This Row],[Food]:[General index]])</f>
        <v>193.18571428571437</v>
      </c>
      <c r="AH157" s="7">
        <f>DATE(All_India_Index_Upto_April23[[#This Row],[Year]],MONTH(1&amp;TRIM(All_India_Index_Upto_April23[[#This Row],[Month]])),1)</f>
        <v>42826</v>
      </c>
    </row>
    <row r="158" spans="1:34" x14ac:dyDescent="0.3">
      <c r="A158">
        <v>157</v>
      </c>
      <c r="B158" s="1" t="s">
        <v>18</v>
      </c>
      <c r="C158">
        <v>2017</v>
      </c>
      <c r="D158" s="1" t="s">
        <v>38</v>
      </c>
      <c r="E158" s="2">
        <v>1872.9999999999995</v>
      </c>
      <c r="F158">
        <v>133.1</v>
      </c>
      <c r="G158">
        <v>140.30000000000001</v>
      </c>
      <c r="H158">
        <v>126.8</v>
      </c>
      <c r="I158">
        <v>138.19999999999999</v>
      </c>
      <c r="J158">
        <v>120.8</v>
      </c>
      <c r="K158">
        <v>140.19999999999999</v>
      </c>
      <c r="L158">
        <v>123.8</v>
      </c>
      <c r="M158">
        <v>141.80000000000001</v>
      </c>
      <c r="N158">
        <v>118.6</v>
      </c>
      <c r="O158">
        <v>134</v>
      </c>
      <c r="P158">
        <v>130.30000000000001</v>
      </c>
      <c r="Q158">
        <v>145.80000000000001</v>
      </c>
      <c r="R158">
        <v>133.80000000000001</v>
      </c>
      <c r="S158">
        <v>145.5</v>
      </c>
      <c r="T158">
        <v>142.5</v>
      </c>
      <c r="U158">
        <v>137.30000000000001</v>
      </c>
      <c r="V158">
        <v>141.80000000000001</v>
      </c>
      <c r="W158" s="1">
        <v>139.12</v>
      </c>
      <c r="X158">
        <v>135</v>
      </c>
      <c r="Y158">
        <v>134.9</v>
      </c>
      <c r="Z158">
        <v>131.4</v>
      </c>
      <c r="AA158">
        <v>119.4</v>
      </c>
      <c r="AB158">
        <v>129.4</v>
      </c>
      <c r="AC158">
        <v>136.30000000000001</v>
      </c>
      <c r="AD158">
        <v>123.7</v>
      </c>
      <c r="AE158">
        <v>127.9</v>
      </c>
      <c r="AF158">
        <v>133.30000000000001</v>
      </c>
      <c r="AG158" s="2">
        <f>AVERAGE(All_India_Index_Upto_April23[[#This Row],[Food]:[General index]])</f>
        <v>195.64357142857139</v>
      </c>
      <c r="AH158" s="7">
        <f>DATE(All_India_Index_Upto_April23[[#This Row],[Year]],MONTH(1&amp;TRIM(All_India_Index_Upto_April23[[#This Row],[Month]])),1)</f>
        <v>42856</v>
      </c>
    </row>
    <row r="159" spans="1:34" x14ac:dyDescent="0.3">
      <c r="A159">
        <v>158</v>
      </c>
      <c r="B159" s="1" t="s">
        <v>33</v>
      </c>
      <c r="C159">
        <v>2017</v>
      </c>
      <c r="D159" s="1" t="s">
        <v>38</v>
      </c>
      <c r="E159" s="2">
        <v>1857.8999999999999</v>
      </c>
      <c r="F159">
        <v>132.6</v>
      </c>
      <c r="G159">
        <v>144.1</v>
      </c>
      <c r="H159">
        <v>125.6</v>
      </c>
      <c r="I159">
        <v>136.80000000000001</v>
      </c>
      <c r="J159">
        <v>113.4</v>
      </c>
      <c r="K159">
        <v>135.19999999999999</v>
      </c>
      <c r="L159">
        <v>129.19999999999999</v>
      </c>
      <c r="M159">
        <v>131.5</v>
      </c>
      <c r="N159">
        <v>121</v>
      </c>
      <c r="O159">
        <v>139.9</v>
      </c>
      <c r="P159">
        <v>123.8</v>
      </c>
      <c r="Q159">
        <v>142.9</v>
      </c>
      <c r="R159">
        <v>133.6</v>
      </c>
      <c r="S159">
        <v>148.30000000000001</v>
      </c>
      <c r="T159">
        <v>131.5</v>
      </c>
      <c r="U159">
        <v>123.2</v>
      </c>
      <c r="V159">
        <v>130.19999999999999</v>
      </c>
      <c r="W159" s="1">
        <v>132.1</v>
      </c>
      <c r="X159">
        <v>120.1</v>
      </c>
      <c r="Y159">
        <v>126.5</v>
      </c>
      <c r="Z159">
        <v>123.6</v>
      </c>
      <c r="AA159">
        <v>114.3</v>
      </c>
      <c r="AB159">
        <v>122.8</v>
      </c>
      <c r="AC159">
        <v>133.80000000000001</v>
      </c>
      <c r="AD159">
        <v>122</v>
      </c>
      <c r="AE159">
        <v>122.6</v>
      </c>
      <c r="AF159">
        <v>129.30000000000001</v>
      </c>
      <c r="AG159" s="2">
        <f>AVERAGE(All_India_Index_Upto_April23[[#This Row],[Food]:[General index]])</f>
        <v>190.99285714285722</v>
      </c>
      <c r="AH159" s="7">
        <f>DATE(All_India_Index_Upto_April23[[#This Row],[Year]],MONTH(1&amp;TRIM(All_India_Index_Upto_April23[[#This Row],[Month]])),1)</f>
        <v>42856</v>
      </c>
    </row>
    <row r="160" spans="1:34" x14ac:dyDescent="0.3">
      <c r="A160">
        <v>159</v>
      </c>
      <c r="B160" s="1" t="s">
        <v>34</v>
      </c>
      <c r="C160">
        <v>2017</v>
      </c>
      <c r="D160" s="1" t="s">
        <v>38</v>
      </c>
      <c r="E160" s="2">
        <v>1865.8000000000002</v>
      </c>
      <c r="F160">
        <v>132.9</v>
      </c>
      <c r="G160">
        <v>141.6</v>
      </c>
      <c r="H160">
        <v>126.3</v>
      </c>
      <c r="I160">
        <v>137.69999999999999</v>
      </c>
      <c r="J160">
        <v>118.1</v>
      </c>
      <c r="K160">
        <v>137.9</v>
      </c>
      <c r="L160">
        <v>125.6</v>
      </c>
      <c r="M160">
        <v>138.30000000000001</v>
      </c>
      <c r="N160">
        <v>119.4</v>
      </c>
      <c r="O160">
        <v>136</v>
      </c>
      <c r="P160">
        <v>127.6</v>
      </c>
      <c r="Q160">
        <v>144.5</v>
      </c>
      <c r="R160">
        <v>133.69999999999999</v>
      </c>
      <c r="S160">
        <v>146.19999999999999</v>
      </c>
      <c r="T160">
        <v>138.19999999999999</v>
      </c>
      <c r="U160">
        <v>131.4</v>
      </c>
      <c r="V160">
        <v>137.19999999999999</v>
      </c>
      <c r="W160" s="1">
        <v>132.1</v>
      </c>
      <c r="X160">
        <v>129.4</v>
      </c>
      <c r="Y160">
        <v>130.9</v>
      </c>
      <c r="Z160">
        <v>128.4</v>
      </c>
      <c r="AA160">
        <v>116.7</v>
      </c>
      <c r="AB160">
        <v>125.7</v>
      </c>
      <c r="AC160">
        <v>134.80000000000001</v>
      </c>
      <c r="AD160">
        <v>123</v>
      </c>
      <c r="AE160">
        <v>125.3</v>
      </c>
      <c r="AF160">
        <v>131.4</v>
      </c>
      <c r="AG160" s="2">
        <f>AVERAGE(All_India_Index_Upto_April23[[#This Row],[Food]:[General index]])</f>
        <v>193.43214285714279</v>
      </c>
      <c r="AH160" s="7">
        <f>DATE(All_India_Index_Upto_April23[[#This Row],[Year]],MONTH(1&amp;TRIM(All_India_Index_Upto_April23[[#This Row],[Month]])),1)</f>
        <v>42856</v>
      </c>
    </row>
    <row r="161" spans="1:34" x14ac:dyDescent="0.3">
      <c r="A161">
        <v>160</v>
      </c>
      <c r="B161" s="1" t="s">
        <v>18</v>
      </c>
      <c r="C161">
        <v>2017</v>
      </c>
      <c r="D161" s="1" t="s">
        <v>39</v>
      </c>
      <c r="E161" s="2">
        <v>1884.6000000000001</v>
      </c>
      <c r="F161">
        <v>133.5</v>
      </c>
      <c r="G161">
        <v>143.69999999999999</v>
      </c>
      <c r="H161">
        <v>128</v>
      </c>
      <c r="I161">
        <v>138.6</v>
      </c>
      <c r="J161">
        <v>120.9</v>
      </c>
      <c r="K161">
        <v>140.9</v>
      </c>
      <c r="L161">
        <v>128.80000000000001</v>
      </c>
      <c r="M161">
        <v>140.19999999999999</v>
      </c>
      <c r="N161">
        <v>118.9</v>
      </c>
      <c r="O161">
        <v>133.5</v>
      </c>
      <c r="P161">
        <v>130.4</v>
      </c>
      <c r="Q161">
        <v>146.5</v>
      </c>
      <c r="R161">
        <v>134.9</v>
      </c>
      <c r="S161">
        <v>145.80000000000001</v>
      </c>
      <c r="T161">
        <v>143.1</v>
      </c>
      <c r="U161">
        <v>137.69999999999999</v>
      </c>
      <c r="V161">
        <v>142.30000000000001</v>
      </c>
      <c r="W161" s="1">
        <v>139.12</v>
      </c>
      <c r="X161">
        <v>134.80000000000001</v>
      </c>
      <c r="Y161">
        <v>135.19999999999999</v>
      </c>
      <c r="Z161">
        <v>131.30000000000001</v>
      </c>
      <c r="AA161">
        <v>119.4</v>
      </c>
      <c r="AB161">
        <v>129.80000000000001</v>
      </c>
      <c r="AC161">
        <v>136.9</v>
      </c>
      <c r="AD161">
        <v>124.1</v>
      </c>
      <c r="AE161">
        <v>128.1</v>
      </c>
      <c r="AF161">
        <v>133.9</v>
      </c>
      <c r="AG161" s="2">
        <f>AVERAGE(All_India_Index_Upto_April23[[#This Row],[Food]:[General index]])</f>
        <v>196.60428571428571</v>
      </c>
      <c r="AH161" s="7">
        <f>DATE(All_India_Index_Upto_April23[[#This Row],[Year]],MONTH(1&amp;TRIM(All_India_Index_Upto_April23[[#This Row],[Month]])),1)</f>
        <v>42887</v>
      </c>
    </row>
    <row r="162" spans="1:34" x14ac:dyDescent="0.3">
      <c r="A162">
        <v>161</v>
      </c>
      <c r="B162" s="1" t="s">
        <v>33</v>
      </c>
      <c r="C162">
        <v>2017</v>
      </c>
      <c r="D162" s="1" t="s">
        <v>39</v>
      </c>
      <c r="E162" s="2">
        <v>1879.6000000000001</v>
      </c>
      <c r="F162">
        <v>132.9</v>
      </c>
      <c r="G162">
        <v>148.69999999999999</v>
      </c>
      <c r="H162">
        <v>128.30000000000001</v>
      </c>
      <c r="I162">
        <v>137.30000000000001</v>
      </c>
      <c r="J162">
        <v>113.5</v>
      </c>
      <c r="K162">
        <v>137.19999999999999</v>
      </c>
      <c r="L162">
        <v>142.19999999999999</v>
      </c>
      <c r="M162">
        <v>128.19999999999999</v>
      </c>
      <c r="N162">
        <v>120.9</v>
      </c>
      <c r="O162">
        <v>138.80000000000001</v>
      </c>
      <c r="P162">
        <v>124.2</v>
      </c>
      <c r="Q162">
        <v>143.1</v>
      </c>
      <c r="R162">
        <v>135.69999999999999</v>
      </c>
      <c r="S162">
        <v>148.6</v>
      </c>
      <c r="T162">
        <v>131.5</v>
      </c>
      <c r="U162">
        <v>123.2</v>
      </c>
      <c r="V162">
        <v>130.19999999999999</v>
      </c>
      <c r="W162" s="1">
        <v>131.4</v>
      </c>
      <c r="X162">
        <v>119</v>
      </c>
      <c r="Y162">
        <v>126.8</v>
      </c>
      <c r="Z162">
        <v>123.8</v>
      </c>
      <c r="AA162">
        <v>113.9</v>
      </c>
      <c r="AB162">
        <v>122.9</v>
      </c>
      <c r="AC162">
        <v>134.30000000000001</v>
      </c>
      <c r="AD162">
        <v>122.5</v>
      </c>
      <c r="AE162">
        <v>122.7</v>
      </c>
      <c r="AF162">
        <v>129.9</v>
      </c>
      <c r="AG162" s="2">
        <f>AVERAGE(All_India_Index_Upto_April23[[#This Row],[Food]:[General index]])</f>
        <v>192.54642857142852</v>
      </c>
      <c r="AH162" s="7">
        <f>DATE(All_India_Index_Upto_April23[[#This Row],[Year]],MONTH(1&amp;TRIM(All_India_Index_Upto_April23[[#This Row],[Month]])),1)</f>
        <v>42887</v>
      </c>
    </row>
    <row r="163" spans="1:34" x14ac:dyDescent="0.3">
      <c r="A163">
        <v>162</v>
      </c>
      <c r="B163" s="1" t="s">
        <v>34</v>
      </c>
      <c r="C163">
        <v>2017</v>
      </c>
      <c r="D163" s="1" t="s">
        <v>39</v>
      </c>
      <c r="E163" s="2">
        <v>1881.2</v>
      </c>
      <c r="F163">
        <v>133.30000000000001</v>
      </c>
      <c r="G163">
        <v>145.5</v>
      </c>
      <c r="H163">
        <v>128.1</v>
      </c>
      <c r="I163">
        <v>138.1</v>
      </c>
      <c r="J163">
        <v>118.2</v>
      </c>
      <c r="K163">
        <v>139.19999999999999</v>
      </c>
      <c r="L163">
        <v>133.30000000000001</v>
      </c>
      <c r="M163">
        <v>136.19999999999999</v>
      </c>
      <c r="N163">
        <v>119.6</v>
      </c>
      <c r="O163">
        <v>135.30000000000001</v>
      </c>
      <c r="P163">
        <v>127.8</v>
      </c>
      <c r="Q163">
        <v>144.9</v>
      </c>
      <c r="R163">
        <v>135.19999999999999</v>
      </c>
      <c r="S163">
        <v>146.5</v>
      </c>
      <c r="T163">
        <v>138.5</v>
      </c>
      <c r="U163">
        <v>131.69999999999999</v>
      </c>
      <c r="V163">
        <v>137.5</v>
      </c>
      <c r="W163" s="1">
        <v>131.4</v>
      </c>
      <c r="X163">
        <v>128.80000000000001</v>
      </c>
      <c r="Y163">
        <v>131.19999999999999</v>
      </c>
      <c r="Z163">
        <v>128.5</v>
      </c>
      <c r="AA163">
        <v>116.5</v>
      </c>
      <c r="AB163">
        <v>125.9</v>
      </c>
      <c r="AC163">
        <v>135.4</v>
      </c>
      <c r="AD163">
        <v>123.4</v>
      </c>
      <c r="AE163">
        <v>125.5</v>
      </c>
      <c r="AF163">
        <v>132</v>
      </c>
      <c r="AG163" s="2">
        <f>AVERAGE(All_India_Index_Upto_April23[[#This Row],[Food]:[General index]])</f>
        <v>194.5964285714285</v>
      </c>
      <c r="AH163" s="7">
        <f>DATE(All_India_Index_Upto_April23[[#This Row],[Year]],MONTH(1&amp;TRIM(All_India_Index_Upto_April23[[#This Row],[Month]])),1)</f>
        <v>42887</v>
      </c>
    </row>
    <row r="164" spans="1:34" x14ac:dyDescent="0.3">
      <c r="A164">
        <v>163</v>
      </c>
      <c r="B164" s="1" t="s">
        <v>18</v>
      </c>
      <c r="C164">
        <v>2017</v>
      </c>
      <c r="D164" s="1" t="s">
        <v>40</v>
      </c>
      <c r="E164" s="2">
        <v>1920.3000000000002</v>
      </c>
      <c r="F164">
        <v>134</v>
      </c>
      <c r="G164">
        <v>144.19999999999999</v>
      </c>
      <c r="H164">
        <v>129.80000000000001</v>
      </c>
      <c r="I164">
        <v>139</v>
      </c>
      <c r="J164">
        <v>120.9</v>
      </c>
      <c r="K164">
        <v>143.9</v>
      </c>
      <c r="L164">
        <v>151.5</v>
      </c>
      <c r="M164">
        <v>138.1</v>
      </c>
      <c r="N164">
        <v>120</v>
      </c>
      <c r="O164">
        <v>133.9</v>
      </c>
      <c r="P164">
        <v>131.4</v>
      </c>
      <c r="Q164">
        <v>147.69999999999999</v>
      </c>
      <c r="R164">
        <v>138.5</v>
      </c>
      <c r="S164">
        <v>147.4</v>
      </c>
      <c r="T164">
        <v>144.30000000000001</v>
      </c>
      <c r="U164">
        <v>138.1</v>
      </c>
      <c r="V164">
        <v>143.5</v>
      </c>
      <c r="W164" s="1">
        <v>139.12</v>
      </c>
      <c r="X164">
        <v>135.30000000000001</v>
      </c>
      <c r="Y164">
        <v>136.1</v>
      </c>
      <c r="Z164">
        <v>132.1</v>
      </c>
      <c r="AA164">
        <v>119.1</v>
      </c>
      <c r="AB164">
        <v>130.6</v>
      </c>
      <c r="AC164">
        <v>138.6</v>
      </c>
      <c r="AD164">
        <v>124.4</v>
      </c>
      <c r="AE164">
        <v>128.6</v>
      </c>
      <c r="AF164">
        <v>136.19999999999999</v>
      </c>
      <c r="AG164" s="2">
        <f>AVERAGE(All_India_Index_Upto_April23[[#This Row],[Food]:[General index]])</f>
        <v>199.52214285714294</v>
      </c>
      <c r="AH164" s="7">
        <f>DATE(All_India_Index_Upto_April23[[#This Row],[Year]],MONTH(1&amp;TRIM(All_India_Index_Upto_April23[[#This Row],[Month]])),1)</f>
        <v>42917</v>
      </c>
    </row>
    <row r="165" spans="1:34" x14ac:dyDescent="0.3">
      <c r="A165">
        <v>164</v>
      </c>
      <c r="B165" s="1" t="s">
        <v>33</v>
      </c>
      <c r="C165">
        <v>2017</v>
      </c>
      <c r="D165" s="1" t="s">
        <v>40</v>
      </c>
      <c r="E165" s="2">
        <v>1918.6</v>
      </c>
      <c r="F165">
        <v>132.80000000000001</v>
      </c>
      <c r="G165">
        <v>148.4</v>
      </c>
      <c r="H165">
        <v>129.4</v>
      </c>
      <c r="I165">
        <v>137.69999999999999</v>
      </c>
      <c r="J165">
        <v>113.4</v>
      </c>
      <c r="K165">
        <v>139.4</v>
      </c>
      <c r="L165">
        <v>175.1</v>
      </c>
      <c r="M165">
        <v>124.7</v>
      </c>
      <c r="N165">
        <v>121.5</v>
      </c>
      <c r="O165">
        <v>137.80000000000001</v>
      </c>
      <c r="P165">
        <v>124.4</v>
      </c>
      <c r="Q165">
        <v>143.69999999999999</v>
      </c>
      <c r="R165">
        <v>139.80000000000001</v>
      </c>
      <c r="S165">
        <v>150.5</v>
      </c>
      <c r="T165">
        <v>131.6</v>
      </c>
      <c r="U165">
        <v>123.7</v>
      </c>
      <c r="V165">
        <v>130.4</v>
      </c>
      <c r="W165" s="1">
        <v>132.6</v>
      </c>
      <c r="X165">
        <v>119.7</v>
      </c>
      <c r="Y165">
        <v>127.2</v>
      </c>
      <c r="Z165">
        <v>125</v>
      </c>
      <c r="AA165">
        <v>113.2</v>
      </c>
      <c r="AB165">
        <v>123.5</v>
      </c>
      <c r="AC165">
        <v>135.5</v>
      </c>
      <c r="AD165">
        <v>122.4</v>
      </c>
      <c r="AE165">
        <v>123</v>
      </c>
      <c r="AF165">
        <v>131.80000000000001</v>
      </c>
      <c r="AG165" s="2">
        <f>AVERAGE(All_India_Index_Upto_April23[[#This Row],[Food]:[General index]])</f>
        <v>195.59999999999997</v>
      </c>
      <c r="AH165" s="7">
        <f>DATE(All_India_Index_Upto_April23[[#This Row],[Year]],MONTH(1&amp;TRIM(All_India_Index_Upto_April23[[#This Row],[Month]])),1)</f>
        <v>42917</v>
      </c>
    </row>
    <row r="166" spans="1:34" x14ac:dyDescent="0.3">
      <c r="A166">
        <v>165</v>
      </c>
      <c r="B166" s="1" t="s">
        <v>34</v>
      </c>
      <c r="C166">
        <v>2017</v>
      </c>
      <c r="D166" s="1" t="s">
        <v>40</v>
      </c>
      <c r="E166" s="2">
        <v>1917.6</v>
      </c>
      <c r="F166">
        <v>133.6</v>
      </c>
      <c r="G166">
        <v>145.69999999999999</v>
      </c>
      <c r="H166">
        <v>129.6</v>
      </c>
      <c r="I166">
        <v>138.5</v>
      </c>
      <c r="J166">
        <v>118.1</v>
      </c>
      <c r="K166">
        <v>141.80000000000001</v>
      </c>
      <c r="L166">
        <v>159.5</v>
      </c>
      <c r="M166">
        <v>133.6</v>
      </c>
      <c r="N166">
        <v>120.5</v>
      </c>
      <c r="O166">
        <v>135.19999999999999</v>
      </c>
      <c r="P166">
        <v>128.5</v>
      </c>
      <c r="Q166">
        <v>145.80000000000001</v>
      </c>
      <c r="R166">
        <v>139</v>
      </c>
      <c r="S166">
        <v>148.19999999999999</v>
      </c>
      <c r="T166">
        <v>139.30000000000001</v>
      </c>
      <c r="U166">
        <v>132.1</v>
      </c>
      <c r="V166">
        <v>138.30000000000001</v>
      </c>
      <c r="W166" s="1">
        <v>132.6</v>
      </c>
      <c r="X166">
        <v>129.4</v>
      </c>
      <c r="Y166">
        <v>131.9</v>
      </c>
      <c r="Z166">
        <v>129.4</v>
      </c>
      <c r="AA166">
        <v>116</v>
      </c>
      <c r="AB166">
        <v>126.6</v>
      </c>
      <c r="AC166">
        <v>136.80000000000001</v>
      </c>
      <c r="AD166">
        <v>123.6</v>
      </c>
      <c r="AE166">
        <v>125.9</v>
      </c>
      <c r="AF166">
        <v>134.19999999999999</v>
      </c>
      <c r="AG166" s="2">
        <f>AVERAGE(All_India_Index_Upto_April23[[#This Row],[Food]:[General index]])</f>
        <v>197.54642857142855</v>
      </c>
      <c r="AH166" s="7">
        <f>DATE(All_India_Index_Upto_April23[[#This Row],[Year]],MONTH(1&amp;TRIM(All_India_Index_Upto_April23[[#This Row],[Month]])),1)</f>
        <v>42917</v>
      </c>
    </row>
    <row r="167" spans="1:34" x14ac:dyDescent="0.3">
      <c r="A167">
        <v>166</v>
      </c>
      <c r="B167" s="1" t="s">
        <v>18</v>
      </c>
      <c r="C167">
        <v>2017</v>
      </c>
      <c r="D167" s="1" t="s">
        <v>41</v>
      </c>
      <c r="E167" s="2">
        <v>1941.4999999999998</v>
      </c>
      <c r="F167">
        <v>134.80000000000001</v>
      </c>
      <c r="G167">
        <v>143.1</v>
      </c>
      <c r="H167">
        <v>130</v>
      </c>
      <c r="I167">
        <v>139.4</v>
      </c>
      <c r="J167">
        <v>120.5</v>
      </c>
      <c r="K167">
        <v>148</v>
      </c>
      <c r="L167">
        <v>162.9</v>
      </c>
      <c r="M167">
        <v>137.4</v>
      </c>
      <c r="N167">
        <v>120.8</v>
      </c>
      <c r="O167">
        <v>134.69999999999999</v>
      </c>
      <c r="P167">
        <v>131.6</v>
      </c>
      <c r="Q167">
        <v>148.69999999999999</v>
      </c>
      <c r="R167">
        <v>140.6</v>
      </c>
      <c r="S167">
        <v>149</v>
      </c>
      <c r="T167">
        <v>145.30000000000001</v>
      </c>
      <c r="U167">
        <v>139.19999999999999</v>
      </c>
      <c r="V167">
        <v>144.5</v>
      </c>
      <c r="W167" s="1">
        <v>139.12</v>
      </c>
      <c r="X167">
        <v>136.4</v>
      </c>
      <c r="Y167">
        <v>137.30000000000001</v>
      </c>
      <c r="Z167">
        <v>133</v>
      </c>
      <c r="AA167">
        <v>120.3</v>
      </c>
      <c r="AB167">
        <v>131.5</v>
      </c>
      <c r="AC167">
        <v>140.19999999999999</v>
      </c>
      <c r="AD167">
        <v>125.4</v>
      </c>
      <c r="AE167">
        <v>129.69999999999999</v>
      </c>
      <c r="AF167">
        <v>137.80000000000001</v>
      </c>
      <c r="AG167" s="2">
        <f>AVERAGE(All_India_Index_Upto_April23[[#This Row],[Food]:[General index]])</f>
        <v>201.52571428571426</v>
      </c>
      <c r="AH167" s="7">
        <f>DATE(All_India_Index_Upto_April23[[#This Row],[Year]],MONTH(1&amp;TRIM(All_India_Index_Upto_April23[[#This Row],[Month]])),1)</f>
        <v>42948</v>
      </c>
    </row>
    <row r="168" spans="1:34" x14ac:dyDescent="0.3">
      <c r="A168">
        <v>167</v>
      </c>
      <c r="B168" s="1" t="s">
        <v>33</v>
      </c>
      <c r="C168">
        <v>2017</v>
      </c>
      <c r="D168" s="1" t="s">
        <v>41</v>
      </c>
      <c r="E168" s="2">
        <v>1925.0999999999997</v>
      </c>
      <c r="F168">
        <v>133.19999999999999</v>
      </c>
      <c r="G168">
        <v>143.9</v>
      </c>
      <c r="H168">
        <v>128.30000000000001</v>
      </c>
      <c r="I168">
        <v>138.30000000000001</v>
      </c>
      <c r="J168">
        <v>114.1</v>
      </c>
      <c r="K168">
        <v>142.69999999999999</v>
      </c>
      <c r="L168">
        <v>179.8</v>
      </c>
      <c r="M168">
        <v>123.5</v>
      </c>
      <c r="N168">
        <v>122.1</v>
      </c>
      <c r="O168">
        <v>137.5</v>
      </c>
      <c r="P168">
        <v>124.6</v>
      </c>
      <c r="Q168">
        <v>144.5</v>
      </c>
      <c r="R168">
        <v>140.5</v>
      </c>
      <c r="S168">
        <v>152.1</v>
      </c>
      <c r="T168">
        <v>132.69999999999999</v>
      </c>
      <c r="U168">
        <v>124.3</v>
      </c>
      <c r="V168">
        <v>131.4</v>
      </c>
      <c r="W168" s="1">
        <v>134.4</v>
      </c>
      <c r="X168">
        <v>118.9</v>
      </c>
      <c r="Y168">
        <v>127.7</v>
      </c>
      <c r="Z168">
        <v>125.7</v>
      </c>
      <c r="AA168">
        <v>114.6</v>
      </c>
      <c r="AB168">
        <v>124.1</v>
      </c>
      <c r="AC168">
        <v>135.69999999999999</v>
      </c>
      <c r="AD168">
        <v>123.3</v>
      </c>
      <c r="AE168">
        <v>123.8</v>
      </c>
      <c r="AF168">
        <v>132.69999999999999</v>
      </c>
      <c r="AG168" s="2">
        <f>AVERAGE(All_India_Index_Upto_April23[[#This Row],[Food]:[General index]])</f>
        <v>196.41071428571425</v>
      </c>
      <c r="AH168" s="7">
        <f>DATE(All_India_Index_Upto_April23[[#This Row],[Year]],MONTH(1&amp;TRIM(All_India_Index_Upto_April23[[#This Row],[Month]])),1)</f>
        <v>42948</v>
      </c>
    </row>
    <row r="169" spans="1:34" x14ac:dyDescent="0.3">
      <c r="A169">
        <v>168</v>
      </c>
      <c r="B169" s="1" t="s">
        <v>34</v>
      </c>
      <c r="C169">
        <v>2017</v>
      </c>
      <c r="D169" s="1" t="s">
        <v>41</v>
      </c>
      <c r="E169" s="2">
        <v>1933.6</v>
      </c>
      <c r="F169">
        <v>134.30000000000001</v>
      </c>
      <c r="G169">
        <v>143.4</v>
      </c>
      <c r="H169">
        <v>129.30000000000001</v>
      </c>
      <c r="I169">
        <v>139</v>
      </c>
      <c r="J169">
        <v>118.1</v>
      </c>
      <c r="K169">
        <v>145.5</v>
      </c>
      <c r="L169">
        <v>168.6</v>
      </c>
      <c r="M169">
        <v>132.69999999999999</v>
      </c>
      <c r="N169">
        <v>121.2</v>
      </c>
      <c r="O169">
        <v>135.6</v>
      </c>
      <c r="P169">
        <v>128.69999999999999</v>
      </c>
      <c r="Q169">
        <v>146.80000000000001</v>
      </c>
      <c r="R169">
        <v>140.6</v>
      </c>
      <c r="S169">
        <v>149.80000000000001</v>
      </c>
      <c r="T169">
        <v>140.30000000000001</v>
      </c>
      <c r="U169">
        <v>133</v>
      </c>
      <c r="V169">
        <v>139.30000000000001</v>
      </c>
      <c r="W169" s="1">
        <v>134.4</v>
      </c>
      <c r="X169">
        <v>129.80000000000001</v>
      </c>
      <c r="Y169">
        <v>132.80000000000001</v>
      </c>
      <c r="Z169">
        <v>130.19999999999999</v>
      </c>
      <c r="AA169">
        <v>117.3</v>
      </c>
      <c r="AB169">
        <v>127.3</v>
      </c>
      <c r="AC169">
        <v>137.6</v>
      </c>
      <c r="AD169">
        <v>124.5</v>
      </c>
      <c r="AE169">
        <v>126.8</v>
      </c>
      <c r="AF169">
        <v>135.4</v>
      </c>
      <c r="AG169" s="2">
        <f>AVERAGE(All_India_Index_Upto_April23[[#This Row],[Food]:[General index]])</f>
        <v>199.13928571428573</v>
      </c>
      <c r="AH169" s="7">
        <f>DATE(All_India_Index_Upto_April23[[#This Row],[Year]],MONTH(1&amp;TRIM(All_India_Index_Upto_April23[[#This Row],[Month]])),1)</f>
        <v>42948</v>
      </c>
    </row>
    <row r="170" spans="1:34" x14ac:dyDescent="0.3">
      <c r="A170">
        <v>169</v>
      </c>
      <c r="B170" s="1" t="s">
        <v>18</v>
      </c>
      <c r="C170">
        <v>2017</v>
      </c>
      <c r="D170" s="1" t="s">
        <v>42</v>
      </c>
      <c r="E170" s="2">
        <v>1934.1</v>
      </c>
      <c r="F170">
        <v>135.19999999999999</v>
      </c>
      <c r="G170">
        <v>142</v>
      </c>
      <c r="H170">
        <v>130.5</v>
      </c>
      <c r="I170">
        <v>140.19999999999999</v>
      </c>
      <c r="J170">
        <v>120.7</v>
      </c>
      <c r="K170">
        <v>147.80000000000001</v>
      </c>
      <c r="L170">
        <v>154.5</v>
      </c>
      <c r="M170">
        <v>137.1</v>
      </c>
      <c r="N170">
        <v>121</v>
      </c>
      <c r="O170">
        <v>134.69999999999999</v>
      </c>
      <c r="P170">
        <v>131.69999999999999</v>
      </c>
      <c r="Q170">
        <v>149.30000000000001</v>
      </c>
      <c r="R170">
        <v>139.6</v>
      </c>
      <c r="S170">
        <v>149.80000000000001</v>
      </c>
      <c r="T170">
        <v>146.1</v>
      </c>
      <c r="U170">
        <v>139.69999999999999</v>
      </c>
      <c r="V170">
        <v>145.19999999999999</v>
      </c>
      <c r="W170" s="1">
        <v>139.12</v>
      </c>
      <c r="X170">
        <v>137.4</v>
      </c>
      <c r="Y170">
        <v>137.9</v>
      </c>
      <c r="Z170">
        <v>133.4</v>
      </c>
      <c r="AA170">
        <v>121.2</v>
      </c>
      <c r="AB170">
        <v>132.30000000000001</v>
      </c>
      <c r="AC170">
        <v>139.6</v>
      </c>
      <c r="AD170">
        <v>126.7</v>
      </c>
      <c r="AE170">
        <v>130.30000000000001</v>
      </c>
      <c r="AF170">
        <v>137.6</v>
      </c>
      <c r="AG170" s="2">
        <f>AVERAGE(All_India_Index_Upto_April23[[#This Row],[Food]:[General index]])</f>
        <v>201.23999999999995</v>
      </c>
      <c r="AH170" s="7">
        <f>DATE(All_India_Index_Upto_April23[[#This Row],[Year]],MONTH(1&amp;TRIM(All_India_Index_Upto_April23[[#This Row],[Month]])),1)</f>
        <v>42979</v>
      </c>
    </row>
    <row r="171" spans="1:34" x14ac:dyDescent="0.3">
      <c r="A171">
        <v>170</v>
      </c>
      <c r="B171" s="1" t="s">
        <v>33</v>
      </c>
      <c r="C171">
        <v>2017</v>
      </c>
      <c r="D171" s="1" t="s">
        <v>42</v>
      </c>
      <c r="E171" s="2">
        <v>1903.3</v>
      </c>
      <c r="F171">
        <v>133.6</v>
      </c>
      <c r="G171">
        <v>143</v>
      </c>
      <c r="H171">
        <v>129.69999999999999</v>
      </c>
      <c r="I171">
        <v>138.69999999999999</v>
      </c>
      <c r="J171">
        <v>114.5</v>
      </c>
      <c r="K171">
        <v>137.5</v>
      </c>
      <c r="L171">
        <v>160.69999999999999</v>
      </c>
      <c r="M171">
        <v>124.5</v>
      </c>
      <c r="N171">
        <v>122.4</v>
      </c>
      <c r="O171">
        <v>137.30000000000001</v>
      </c>
      <c r="P171">
        <v>124.8</v>
      </c>
      <c r="Q171">
        <v>145</v>
      </c>
      <c r="R171">
        <v>138</v>
      </c>
      <c r="S171">
        <v>153.6</v>
      </c>
      <c r="T171">
        <v>133.30000000000001</v>
      </c>
      <c r="U171">
        <v>124.6</v>
      </c>
      <c r="V171">
        <v>132</v>
      </c>
      <c r="W171" s="1">
        <v>135.69999999999999</v>
      </c>
      <c r="X171">
        <v>120.6</v>
      </c>
      <c r="Y171">
        <v>128.1</v>
      </c>
      <c r="Z171">
        <v>126.1</v>
      </c>
      <c r="AA171">
        <v>115.7</v>
      </c>
      <c r="AB171">
        <v>124.5</v>
      </c>
      <c r="AC171">
        <v>135.9</v>
      </c>
      <c r="AD171">
        <v>124.4</v>
      </c>
      <c r="AE171">
        <v>124.5</v>
      </c>
      <c r="AF171">
        <v>132.4</v>
      </c>
      <c r="AG171" s="2">
        <f>AVERAGE(All_India_Index_Upto_April23[[#This Row],[Food]:[General index]])</f>
        <v>195.15714285714284</v>
      </c>
      <c r="AH171" s="7">
        <f>DATE(All_India_Index_Upto_April23[[#This Row],[Year]],MONTH(1&amp;TRIM(All_India_Index_Upto_April23[[#This Row],[Month]])),1)</f>
        <v>42979</v>
      </c>
    </row>
    <row r="172" spans="1:34" x14ac:dyDescent="0.3">
      <c r="A172">
        <v>171</v>
      </c>
      <c r="B172" s="1" t="s">
        <v>34</v>
      </c>
      <c r="C172">
        <v>2017</v>
      </c>
      <c r="D172" s="1" t="s">
        <v>42</v>
      </c>
      <c r="E172" s="2">
        <v>1920.7999999999997</v>
      </c>
      <c r="F172">
        <v>134.69999999999999</v>
      </c>
      <c r="G172">
        <v>142.4</v>
      </c>
      <c r="H172">
        <v>130.19999999999999</v>
      </c>
      <c r="I172">
        <v>139.6</v>
      </c>
      <c r="J172">
        <v>118.4</v>
      </c>
      <c r="K172">
        <v>143</v>
      </c>
      <c r="L172">
        <v>156.6</v>
      </c>
      <c r="M172">
        <v>132.9</v>
      </c>
      <c r="N172">
        <v>121.5</v>
      </c>
      <c r="O172">
        <v>135.6</v>
      </c>
      <c r="P172">
        <v>128.80000000000001</v>
      </c>
      <c r="Q172">
        <v>147.30000000000001</v>
      </c>
      <c r="R172">
        <v>139</v>
      </c>
      <c r="S172">
        <v>150.80000000000001</v>
      </c>
      <c r="T172">
        <v>141.1</v>
      </c>
      <c r="U172">
        <v>133.4</v>
      </c>
      <c r="V172">
        <v>140</v>
      </c>
      <c r="W172" s="1">
        <v>135.69999999999999</v>
      </c>
      <c r="X172">
        <v>131</v>
      </c>
      <c r="Y172">
        <v>133.30000000000001</v>
      </c>
      <c r="Z172">
        <v>130.6</v>
      </c>
      <c r="AA172">
        <v>118.3</v>
      </c>
      <c r="AB172">
        <v>127.9</v>
      </c>
      <c r="AC172">
        <v>137.4</v>
      </c>
      <c r="AD172">
        <v>125.7</v>
      </c>
      <c r="AE172">
        <v>127.5</v>
      </c>
      <c r="AF172">
        <v>135.19999999999999</v>
      </c>
      <c r="AG172" s="2">
        <f>AVERAGE(All_India_Index_Upto_April23[[#This Row],[Food]:[General index]])</f>
        <v>198.52499999999995</v>
      </c>
      <c r="AH172" s="7">
        <f>DATE(All_India_Index_Upto_April23[[#This Row],[Year]],MONTH(1&amp;TRIM(All_India_Index_Upto_April23[[#This Row],[Month]])),1)</f>
        <v>42979</v>
      </c>
    </row>
    <row r="173" spans="1:34" x14ac:dyDescent="0.3">
      <c r="A173">
        <v>172</v>
      </c>
      <c r="B173" s="1" t="s">
        <v>18</v>
      </c>
      <c r="C173">
        <v>2017</v>
      </c>
      <c r="D173" s="1" t="s">
        <v>43</v>
      </c>
      <c r="E173" s="2">
        <v>1941.3999999999999</v>
      </c>
      <c r="F173">
        <v>135.9</v>
      </c>
      <c r="G173">
        <v>141.9</v>
      </c>
      <c r="H173">
        <v>131</v>
      </c>
      <c r="I173">
        <v>141.5</v>
      </c>
      <c r="J173">
        <v>121.4</v>
      </c>
      <c r="K173">
        <v>146.69999999999999</v>
      </c>
      <c r="L173">
        <v>157.1</v>
      </c>
      <c r="M173">
        <v>136.4</v>
      </c>
      <c r="N173">
        <v>121.4</v>
      </c>
      <c r="O173">
        <v>135.6</v>
      </c>
      <c r="P173">
        <v>131.30000000000001</v>
      </c>
      <c r="Q173">
        <v>150.30000000000001</v>
      </c>
      <c r="R173">
        <v>140.4</v>
      </c>
      <c r="S173">
        <v>150.5</v>
      </c>
      <c r="T173">
        <v>147.19999999999999</v>
      </c>
      <c r="U173">
        <v>140.6</v>
      </c>
      <c r="V173">
        <v>146.19999999999999</v>
      </c>
      <c r="W173" s="1">
        <v>139.12</v>
      </c>
      <c r="X173">
        <v>138.1</v>
      </c>
      <c r="Y173">
        <v>138.4</v>
      </c>
      <c r="Z173">
        <v>134.19999999999999</v>
      </c>
      <c r="AA173">
        <v>121</v>
      </c>
      <c r="AB173">
        <v>133</v>
      </c>
      <c r="AC173">
        <v>140.1</v>
      </c>
      <c r="AD173">
        <v>127.4</v>
      </c>
      <c r="AE173">
        <v>130.69999999999999</v>
      </c>
      <c r="AF173">
        <v>138.30000000000001</v>
      </c>
      <c r="AG173" s="2">
        <f>AVERAGE(All_India_Index_Upto_April23[[#This Row],[Food]:[General index]])</f>
        <v>202.04</v>
      </c>
      <c r="AH173" s="7">
        <f>DATE(All_India_Index_Upto_April23[[#This Row],[Year]],MONTH(1&amp;TRIM(All_India_Index_Upto_April23[[#This Row],[Month]])),1)</f>
        <v>43009</v>
      </c>
    </row>
    <row r="174" spans="1:34" x14ac:dyDescent="0.3">
      <c r="A174">
        <v>173</v>
      </c>
      <c r="B174" s="1" t="s">
        <v>33</v>
      </c>
      <c r="C174">
        <v>2017</v>
      </c>
      <c r="D174" s="1" t="s">
        <v>43</v>
      </c>
      <c r="E174" s="2">
        <v>1920.2999999999997</v>
      </c>
      <c r="F174">
        <v>133.9</v>
      </c>
      <c r="G174">
        <v>142.80000000000001</v>
      </c>
      <c r="H174">
        <v>131.4</v>
      </c>
      <c r="I174">
        <v>139.1</v>
      </c>
      <c r="J174">
        <v>114.9</v>
      </c>
      <c r="K174">
        <v>135.6</v>
      </c>
      <c r="L174">
        <v>173.2</v>
      </c>
      <c r="M174">
        <v>124.1</v>
      </c>
      <c r="N174">
        <v>122.6</v>
      </c>
      <c r="O174">
        <v>137.80000000000001</v>
      </c>
      <c r="P174">
        <v>125.1</v>
      </c>
      <c r="Q174">
        <v>145.5</v>
      </c>
      <c r="R174">
        <v>139.69999999999999</v>
      </c>
      <c r="S174">
        <v>154.6</v>
      </c>
      <c r="T174">
        <v>134</v>
      </c>
      <c r="U174">
        <v>124.9</v>
      </c>
      <c r="V174">
        <v>132.6</v>
      </c>
      <c r="W174" s="1">
        <v>137.30000000000001</v>
      </c>
      <c r="X174">
        <v>122.6</v>
      </c>
      <c r="Y174">
        <v>128.30000000000001</v>
      </c>
      <c r="Z174">
        <v>126.6</v>
      </c>
      <c r="AA174">
        <v>115</v>
      </c>
      <c r="AB174">
        <v>124.8</v>
      </c>
      <c r="AC174">
        <v>136.30000000000001</v>
      </c>
      <c r="AD174">
        <v>124.6</v>
      </c>
      <c r="AE174">
        <v>124.5</v>
      </c>
      <c r="AF174">
        <v>133.5</v>
      </c>
      <c r="AG174" s="2">
        <f>AVERAGE(All_India_Index_Upto_April23[[#This Row],[Food]:[General index]])</f>
        <v>196.62857142857146</v>
      </c>
      <c r="AH174" s="7">
        <f>DATE(All_India_Index_Upto_April23[[#This Row],[Year]],MONTH(1&amp;TRIM(All_India_Index_Upto_April23[[#This Row],[Month]])),1)</f>
        <v>43009</v>
      </c>
    </row>
    <row r="175" spans="1:34" x14ac:dyDescent="0.3">
      <c r="A175">
        <v>174</v>
      </c>
      <c r="B175" s="1" t="s">
        <v>34</v>
      </c>
      <c r="C175">
        <v>2017</v>
      </c>
      <c r="D175" s="1" t="s">
        <v>43</v>
      </c>
      <c r="E175" s="2">
        <v>1931.2999999999997</v>
      </c>
      <c r="F175">
        <v>135.30000000000001</v>
      </c>
      <c r="G175">
        <v>142.19999999999999</v>
      </c>
      <c r="H175">
        <v>131.19999999999999</v>
      </c>
      <c r="I175">
        <v>140.6</v>
      </c>
      <c r="J175">
        <v>119</v>
      </c>
      <c r="K175">
        <v>141.5</v>
      </c>
      <c r="L175">
        <v>162.6</v>
      </c>
      <c r="M175">
        <v>132.30000000000001</v>
      </c>
      <c r="N175">
        <v>121.8</v>
      </c>
      <c r="O175">
        <v>136.30000000000001</v>
      </c>
      <c r="P175">
        <v>128.69999999999999</v>
      </c>
      <c r="Q175">
        <v>148.1</v>
      </c>
      <c r="R175">
        <v>140.1</v>
      </c>
      <c r="S175">
        <v>151.6</v>
      </c>
      <c r="T175">
        <v>142</v>
      </c>
      <c r="U175">
        <v>134.1</v>
      </c>
      <c r="V175">
        <v>140.80000000000001</v>
      </c>
      <c r="W175" s="1">
        <v>137.30000000000001</v>
      </c>
      <c r="X175">
        <v>132.19999999999999</v>
      </c>
      <c r="Y175">
        <v>133.6</v>
      </c>
      <c r="Z175">
        <v>131.30000000000001</v>
      </c>
      <c r="AA175">
        <v>117.8</v>
      </c>
      <c r="AB175">
        <v>128.4</v>
      </c>
      <c r="AC175">
        <v>137.9</v>
      </c>
      <c r="AD175">
        <v>126.2</v>
      </c>
      <c r="AE175">
        <v>127.7</v>
      </c>
      <c r="AF175">
        <v>136.1</v>
      </c>
      <c r="AG175" s="2">
        <f>AVERAGE(All_India_Index_Upto_April23[[#This Row],[Food]:[General index]])</f>
        <v>199.57142857142858</v>
      </c>
      <c r="AH175" s="7">
        <f>DATE(All_India_Index_Upto_April23[[#This Row],[Year]],MONTH(1&amp;TRIM(All_India_Index_Upto_April23[[#This Row],[Month]])),1)</f>
        <v>43009</v>
      </c>
    </row>
    <row r="176" spans="1:34" x14ac:dyDescent="0.3">
      <c r="A176">
        <v>175</v>
      </c>
      <c r="B176" s="1" t="s">
        <v>18</v>
      </c>
      <c r="C176">
        <v>2017</v>
      </c>
      <c r="D176" s="1" t="s">
        <v>45</v>
      </c>
      <c r="E176" s="2">
        <v>1969.8000000000002</v>
      </c>
      <c r="F176">
        <v>136.30000000000001</v>
      </c>
      <c r="G176">
        <v>142.5</v>
      </c>
      <c r="H176">
        <v>140.5</v>
      </c>
      <c r="I176">
        <v>141.5</v>
      </c>
      <c r="J176">
        <v>121.6</v>
      </c>
      <c r="K176">
        <v>147.30000000000001</v>
      </c>
      <c r="L176">
        <v>168</v>
      </c>
      <c r="M176">
        <v>135.80000000000001</v>
      </c>
      <c r="N176">
        <v>122.5</v>
      </c>
      <c r="O176">
        <v>136</v>
      </c>
      <c r="P176">
        <v>131.9</v>
      </c>
      <c r="Q176">
        <v>151.4</v>
      </c>
      <c r="R176">
        <v>142.4</v>
      </c>
      <c r="S176">
        <v>152.1</v>
      </c>
      <c r="T176">
        <v>148.19999999999999</v>
      </c>
      <c r="U176">
        <v>141.5</v>
      </c>
      <c r="V176">
        <v>147.30000000000001</v>
      </c>
      <c r="W176" s="1">
        <v>139.12</v>
      </c>
      <c r="X176">
        <v>141.1</v>
      </c>
      <c r="Y176">
        <v>139.4</v>
      </c>
      <c r="Z176">
        <v>135.80000000000001</v>
      </c>
      <c r="AA176">
        <v>121.6</v>
      </c>
      <c r="AB176">
        <v>133.69999999999999</v>
      </c>
      <c r="AC176">
        <v>141.5</v>
      </c>
      <c r="AD176">
        <v>128.1</v>
      </c>
      <c r="AE176">
        <v>131.69999999999999</v>
      </c>
      <c r="AF176">
        <v>140</v>
      </c>
      <c r="AG176" s="2">
        <f>AVERAGE(All_India_Index_Upto_April23[[#This Row],[Food]:[General index]])</f>
        <v>204.59357142857149</v>
      </c>
      <c r="AH176" s="7">
        <f>DATE(All_India_Index_Upto_April23[[#This Row],[Year]],MONTH(1&amp;TRIM(All_India_Index_Upto_April23[[#This Row],[Month]])),1)</f>
        <v>43040</v>
      </c>
    </row>
    <row r="177" spans="1:34" x14ac:dyDescent="0.3">
      <c r="A177">
        <v>176</v>
      </c>
      <c r="B177" s="1" t="s">
        <v>33</v>
      </c>
      <c r="C177">
        <v>2017</v>
      </c>
      <c r="D177" s="1" t="s">
        <v>45</v>
      </c>
      <c r="E177" s="2">
        <v>1952.9</v>
      </c>
      <c r="F177">
        <v>134.30000000000001</v>
      </c>
      <c r="G177">
        <v>142.1</v>
      </c>
      <c r="H177">
        <v>146.69999999999999</v>
      </c>
      <c r="I177">
        <v>139.5</v>
      </c>
      <c r="J177">
        <v>115.2</v>
      </c>
      <c r="K177">
        <v>136.4</v>
      </c>
      <c r="L177">
        <v>185.2</v>
      </c>
      <c r="M177">
        <v>122.2</v>
      </c>
      <c r="N177">
        <v>123.9</v>
      </c>
      <c r="O177">
        <v>138.30000000000001</v>
      </c>
      <c r="P177">
        <v>125.4</v>
      </c>
      <c r="Q177">
        <v>146</v>
      </c>
      <c r="R177">
        <v>141.5</v>
      </c>
      <c r="S177">
        <v>156.19999999999999</v>
      </c>
      <c r="T177">
        <v>135</v>
      </c>
      <c r="U177">
        <v>125.4</v>
      </c>
      <c r="V177">
        <v>133.5</v>
      </c>
      <c r="W177" s="1">
        <v>138.6</v>
      </c>
      <c r="X177">
        <v>125.7</v>
      </c>
      <c r="Y177">
        <v>128.80000000000001</v>
      </c>
      <c r="Z177">
        <v>127.4</v>
      </c>
      <c r="AA177">
        <v>115.3</v>
      </c>
      <c r="AB177">
        <v>125.1</v>
      </c>
      <c r="AC177">
        <v>136.6</v>
      </c>
      <c r="AD177">
        <v>124.9</v>
      </c>
      <c r="AE177">
        <v>124.9</v>
      </c>
      <c r="AF177">
        <v>134.80000000000001</v>
      </c>
      <c r="AG177" s="2">
        <f>AVERAGE(All_India_Index_Upto_April23[[#This Row],[Food]:[General index]])</f>
        <v>199.35</v>
      </c>
      <c r="AH177" s="7">
        <f>DATE(All_India_Index_Upto_April23[[#This Row],[Year]],MONTH(1&amp;TRIM(All_India_Index_Upto_April23[[#This Row],[Month]])),1)</f>
        <v>43040</v>
      </c>
    </row>
    <row r="178" spans="1:34" x14ac:dyDescent="0.3">
      <c r="A178">
        <v>177</v>
      </c>
      <c r="B178" s="1" t="s">
        <v>34</v>
      </c>
      <c r="C178">
        <v>2017</v>
      </c>
      <c r="D178" s="1" t="s">
        <v>45</v>
      </c>
      <c r="E178" s="2">
        <v>1961.4</v>
      </c>
      <c r="F178">
        <v>135.69999999999999</v>
      </c>
      <c r="G178">
        <v>142.4</v>
      </c>
      <c r="H178">
        <v>142.9</v>
      </c>
      <c r="I178">
        <v>140.80000000000001</v>
      </c>
      <c r="J178">
        <v>119.2</v>
      </c>
      <c r="K178">
        <v>142.19999999999999</v>
      </c>
      <c r="L178">
        <v>173.8</v>
      </c>
      <c r="M178">
        <v>131.19999999999999</v>
      </c>
      <c r="N178">
        <v>123</v>
      </c>
      <c r="O178">
        <v>136.80000000000001</v>
      </c>
      <c r="P178">
        <v>129.19999999999999</v>
      </c>
      <c r="Q178">
        <v>148.9</v>
      </c>
      <c r="R178">
        <v>142.1</v>
      </c>
      <c r="S178">
        <v>153.19999999999999</v>
      </c>
      <c r="T178">
        <v>143</v>
      </c>
      <c r="U178">
        <v>134.80000000000001</v>
      </c>
      <c r="V178">
        <v>141.80000000000001</v>
      </c>
      <c r="W178" s="1">
        <v>138.6</v>
      </c>
      <c r="X178">
        <v>135.30000000000001</v>
      </c>
      <c r="Y178">
        <v>134.4</v>
      </c>
      <c r="Z178">
        <v>132.6</v>
      </c>
      <c r="AA178">
        <v>118.3</v>
      </c>
      <c r="AB178">
        <v>128.9</v>
      </c>
      <c r="AC178">
        <v>138.6</v>
      </c>
      <c r="AD178">
        <v>126.8</v>
      </c>
      <c r="AE178">
        <v>128.4</v>
      </c>
      <c r="AF178">
        <v>137.6</v>
      </c>
      <c r="AG178" s="2">
        <f>AVERAGE(All_India_Index_Upto_April23[[#This Row],[Food]:[General index]])</f>
        <v>202.21071428571432</v>
      </c>
      <c r="AH178" s="7">
        <f>DATE(All_India_Index_Upto_April23[[#This Row],[Year]],MONTH(1&amp;TRIM(All_India_Index_Upto_April23[[#This Row],[Month]])),1)</f>
        <v>43040</v>
      </c>
    </row>
    <row r="179" spans="1:34" x14ac:dyDescent="0.3">
      <c r="A179">
        <v>178</v>
      </c>
      <c r="B179" s="1" t="s">
        <v>18</v>
      </c>
      <c r="C179">
        <v>2017</v>
      </c>
      <c r="D179" s="1" t="s">
        <v>46</v>
      </c>
      <c r="E179" s="2">
        <v>1966.8000000000002</v>
      </c>
      <c r="F179">
        <v>136.4</v>
      </c>
      <c r="G179">
        <v>143.69999999999999</v>
      </c>
      <c r="H179">
        <v>144.80000000000001</v>
      </c>
      <c r="I179">
        <v>141.9</v>
      </c>
      <c r="J179">
        <v>123.1</v>
      </c>
      <c r="K179">
        <v>147.19999999999999</v>
      </c>
      <c r="L179">
        <v>161</v>
      </c>
      <c r="M179">
        <v>133.80000000000001</v>
      </c>
      <c r="N179">
        <v>121.9</v>
      </c>
      <c r="O179">
        <v>135.80000000000001</v>
      </c>
      <c r="P179">
        <v>131.1</v>
      </c>
      <c r="Q179">
        <v>151.4</v>
      </c>
      <c r="R179">
        <v>141.5</v>
      </c>
      <c r="S179">
        <v>153.19999999999999</v>
      </c>
      <c r="T179">
        <v>148</v>
      </c>
      <c r="U179">
        <v>141.9</v>
      </c>
      <c r="V179">
        <v>147.19999999999999</v>
      </c>
      <c r="W179" s="1">
        <v>139.12</v>
      </c>
      <c r="X179">
        <v>142.6</v>
      </c>
      <c r="Y179">
        <v>139.5</v>
      </c>
      <c r="Z179">
        <v>136.1</v>
      </c>
      <c r="AA179">
        <v>122</v>
      </c>
      <c r="AB179">
        <v>133.4</v>
      </c>
      <c r="AC179">
        <v>141.1</v>
      </c>
      <c r="AD179">
        <v>127.8</v>
      </c>
      <c r="AE179">
        <v>131.9</v>
      </c>
      <c r="AF179">
        <v>139.80000000000001</v>
      </c>
      <c r="AG179" s="2">
        <f>AVERAGE(All_India_Index_Upto_April23[[#This Row],[Food]:[General index]])</f>
        <v>204.42928571428573</v>
      </c>
      <c r="AH179" s="7">
        <f>DATE(All_India_Index_Upto_April23[[#This Row],[Year]],MONTH(1&amp;TRIM(All_India_Index_Upto_April23[[#This Row],[Month]])),1)</f>
        <v>43070</v>
      </c>
    </row>
    <row r="180" spans="1:34" x14ac:dyDescent="0.3">
      <c r="A180">
        <v>179</v>
      </c>
      <c r="B180" s="1" t="s">
        <v>33</v>
      </c>
      <c r="C180">
        <v>2017</v>
      </c>
      <c r="D180" s="1" t="s">
        <v>46</v>
      </c>
      <c r="E180" s="2">
        <v>1924.5</v>
      </c>
      <c r="F180">
        <v>134.4</v>
      </c>
      <c r="G180">
        <v>142.6</v>
      </c>
      <c r="H180">
        <v>145.9</v>
      </c>
      <c r="I180">
        <v>139.5</v>
      </c>
      <c r="J180">
        <v>115.9</v>
      </c>
      <c r="K180">
        <v>135</v>
      </c>
      <c r="L180">
        <v>163.19999999999999</v>
      </c>
      <c r="M180">
        <v>119.8</v>
      </c>
      <c r="N180">
        <v>120.7</v>
      </c>
      <c r="O180">
        <v>139.69999999999999</v>
      </c>
      <c r="P180">
        <v>125.7</v>
      </c>
      <c r="Q180">
        <v>146.30000000000001</v>
      </c>
      <c r="R180">
        <v>138.80000000000001</v>
      </c>
      <c r="S180">
        <v>157</v>
      </c>
      <c r="T180">
        <v>135.6</v>
      </c>
      <c r="U180">
        <v>125.6</v>
      </c>
      <c r="V180">
        <v>134</v>
      </c>
      <c r="W180" s="1">
        <v>139.1</v>
      </c>
      <c r="X180">
        <v>126.8</v>
      </c>
      <c r="Y180">
        <v>129.30000000000001</v>
      </c>
      <c r="Z180">
        <v>128.19999999999999</v>
      </c>
      <c r="AA180">
        <v>115.3</v>
      </c>
      <c r="AB180">
        <v>125.6</v>
      </c>
      <c r="AC180">
        <v>136.69999999999999</v>
      </c>
      <c r="AD180">
        <v>124.6</v>
      </c>
      <c r="AE180">
        <v>125.1</v>
      </c>
      <c r="AF180">
        <v>134.1</v>
      </c>
      <c r="AG180" s="2">
        <f>AVERAGE(All_India_Index_Upto_April23[[#This Row],[Food]:[General index]])</f>
        <v>197.46428571428578</v>
      </c>
      <c r="AH180" s="7">
        <f>DATE(All_India_Index_Upto_April23[[#This Row],[Year]],MONTH(1&amp;TRIM(All_India_Index_Upto_April23[[#This Row],[Month]])),1)</f>
        <v>43070</v>
      </c>
    </row>
    <row r="181" spans="1:34" x14ac:dyDescent="0.3">
      <c r="A181">
        <v>180</v>
      </c>
      <c r="B181" s="1" t="s">
        <v>34</v>
      </c>
      <c r="C181">
        <v>2017</v>
      </c>
      <c r="D181" s="1" t="s">
        <v>46</v>
      </c>
      <c r="E181" s="2">
        <v>1949.1999999999998</v>
      </c>
      <c r="F181">
        <v>135.80000000000001</v>
      </c>
      <c r="G181">
        <v>143.30000000000001</v>
      </c>
      <c r="H181">
        <v>145.19999999999999</v>
      </c>
      <c r="I181">
        <v>141</v>
      </c>
      <c r="J181">
        <v>120.5</v>
      </c>
      <c r="K181">
        <v>141.5</v>
      </c>
      <c r="L181">
        <v>161.69999999999999</v>
      </c>
      <c r="M181">
        <v>129.1</v>
      </c>
      <c r="N181">
        <v>121.5</v>
      </c>
      <c r="O181">
        <v>137.1</v>
      </c>
      <c r="P181">
        <v>128.80000000000001</v>
      </c>
      <c r="Q181">
        <v>149</v>
      </c>
      <c r="R181">
        <v>140.5</v>
      </c>
      <c r="S181">
        <v>154.19999999999999</v>
      </c>
      <c r="T181">
        <v>143.1</v>
      </c>
      <c r="U181">
        <v>135.1</v>
      </c>
      <c r="V181">
        <v>142</v>
      </c>
      <c r="W181" s="1">
        <v>139.1</v>
      </c>
      <c r="X181">
        <v>136.6</v>
      </c>
      <c r="Y181">
        <v>134.69999999999999</v>
      </c>
      <c r="Z181">
        <v>133.1</v>
      </c>
      <c r="AA181">
        <v>118.5</v>
      </c>
      <c r="AB181">
        <v>129</v>
      </c>
      <c r="AC181">
        <v>138.5</v>
      </c>
      <c r="AD181">
        <v>126.5</v>
      </c>
      <c r="AE181">
        <v>128.6</v>
      </c>
      <c r="AF181">
        <v>137.19999999999999</v>
      </c>
      <c r="AG181" s="2">
        <f>AVERAGE(All_India_Index_Upto_April23[[#This Row],[Food]:[General index]])</f>
        <v>201.44285714285715</v>
      </c>
      <c r="AH181" s="7">
        <f>DATE(All_India_Index_Upto_April23[[#This Row],[Year]],MONTH(1&amp;TRIM(All_India_Index_Upto_April23[[#This Row],[Month]])),1)</f>
        <v>43070</v>
      </c>
    </row>
    <row r="182" spans="1:34" x14ac:dyDescent="0.3">
      <c r="A182">
        <v>181</v>
      </c>
      <c r="B182" s="1" t="s">
        <v>18</v>
      </c>
      <c r="C182">
        <v>2018</v>
      </c>
      <c r="D182" s="1" t="s">
        <v>19</v>
      </c>
      <c r="E182" s="2">
        <v>1954.3</v>
      </c>
      <c r="F182">
        <v>136.6</v>
      </c>
      <c r="G182">
        <v>144.4</v>
      </c>
      <c r="H182">
        <v>143.80000000000001</v>
      </c>
      <c r="I182">
        <v>142</v>
      </c>
      <c r="J182">
        <v>123.2</v>
      </c>
      <c r="K182">
        <v>147.9</v>
      </c>
      <c r="L182">
        <v>152.1</v>
      </c>
      <c r="M182">
        <v>131.80000000000001</v>
      </c>
      <c r="N182">
        <v>119.5</v>
      </c>
      <c r="O182">
        <v>136</v>
      </c>
      <c r="P182">
        <v>131.19999999999999</v>
      </c>
      <c r="Q182">
        <v>151.80000000000001</v>
      </c>
      <c r="R182">
        <v>140.4</v>
      </c>
      <c r="S182">
        <v>153.6</v>
      </c>
      <c r="T182">
        <v>148.30000000000001</v>
      </c>
      <c r="U182">
        <v>142.30000000000001</v>
      </c>
      <c r="V182">
        <v>147.5</v>
      </c>
      <c r="W182" s="1">
        <v>139.12</v>
      </c>
      <c r="X182">
        <v>142.30000000000001</v>
      </c>
      <c r="Y182">
        <v>139.80000000000001</v>
      </c>
      <c r="Z182">
        <v>136</v>
      </c>
      <c r="AA182">
        <v>122.7</v>
      </c>
      <c r="AB182">
        <v>134.30000000000001</v>
      </c>
      <c r="AC182">
        <v>141.6</v>
      </c>
      <c r="AD182">
        <v>128.6</v>
      </c>
      <c r="AE182">
        <v>132.30000000000001</v>
      </c>
      <c r="AF182">
        <v>139.30000000000001</v>
      </c>
      <c r="AG182" s="2">
        <f>AVERAGE(All_India_Index_Upto_April23[[#This Row],[Food]:[General index]])</f>
        <v>203.66857142857151</v>
      </c>
      <c r="AH182" s="7">
        <f>DATE(All_India_Index_Upto_April23[[#This Row],[Year]],MONTH(1&amp;TRIM(All_India_Index_Upto_April23[[#This Row],[Month]])),1)</f>
        <v>43101</v>
      </c>
    </row>
    <row r="183" spans="1:34" x14ac:dyDescent="0.3">
      <c r="A183">
        <v>182</v>
      </c>
      <c r="B183" s="1" t="s">
        <v>33</v>
      </c>
      <c r="C183">
        <v>2018</v>
      </c>
      <c r="D183" s="1" t="s">
        <v>19</v>
      </c>
      <c r="E183" s="2">
        <v>1906.0000000000002</v>
      </c>
      <c r="F183">
        <v>134.6</v>
      </c>
      <c r="G183">
        <v>143.69999999999999</v>
      </c>
      <c r="H183">
        <v>143.6</v>
      </c>
      <c r="I183">
        <v>139.6</v>
      </c>
      <c r="J183">
        <v>116.4</v>
      </c>
      <c r="K183">
        <v>133.80000000000001</v>
      </c>
      <c r="L183">
        <v>150.5</v>
      </c>
      <c r="M183">
        <v>118.4</v>
      </c>
      <c r="N183">
        <v>117.3</v>
      </c>
      <c r="O183">
        <v>140.5</v>
      </c>
      <c r="P183">
        <v>125.9</v>
      </c>
      <c r="Q183">
        <v>146.80000000000001</v>
      </c>
      <c r="R183">
        <v>137.19999999999999</v>
      </c>
      <c r="S183">
        <v>157.69999999999999</v>
      </c>
      <c r="T183">
        <v>136</v>
      </c>
      <c r="U183">
        <v>125.9</v>
      </c>
      <c r="V183">
        <v>134.4</v>
      </c>
      <c r="W183" s="1">
        <v>140.4</v>
      </c>
      <c r="X183">
        <v>127.3</v>
      </c>
      <c r="Y183">
        <v>129.5</v>
      </c>
      <c r="Z183">
        <v>129</v>
      </c>
      <c r="AA183">
        <v>116.3</v>
      </c>
      <c r="AB183">
        <v>126.2</v>
      </c>
      <c r="AC183">
        <v>137.1</v>
      </c>
      <c r="AD183">
        <v>125.5</v>
      </c>
      <c r="AE183">
        <v>125.8</v>
      </c>
      <c r="AF183">
        <v>134.1</v>
      </c>
      <c r="AG183" s="2">
        <f>AVERAGE(All_India_Index_Upto_April23[[#This Row],[Food]:[General index]])</f>
        <v>196.41071428571431</v>
      </c>
      <c r="AH183" s="7">
        <f>DATE(All_India_Index_Upto_April23[[#This Row],[Year]],MONTH(1&amp;TRIM(All_India_Index_Upto_April23[[#This Row],[Month]])),1)</f>
        <v>43101</v>
      </c>
    </row>
    <row r="184" spans="1:34" x14ac:dyDescent="0.3">
      <c r="A184">
        <v>183</v>
      </c>
      <c r="B184" s="1" t="s">
        <v>34</v>
      </c>
      <c r="C184">
        <v>2018</v>
      </c>
      <c r="D184" s="1" t="s">
        <v>19</v>
      </c>
      <c r="E184" s="2">
        <v>1934.6000000000001</v>
      </c>
      <c r="F184">
        <v>136</v>
      </c>
      <c r="G184">
        <v>144.19999999999999</v>
      </c>
      <c r="H184">
        <v>143.69999999999999</v>
      </c>
      <c r="I184">
        <v>141.1</v>
      </c>
      <c r="J184">
        <v>120.7</v>
      </c>
      <c r="K184">
        <v>141.30000000000001</v>
      </c>
      <c r="L184">
        <v>151.6</v>
      </c>
      <c r="M184">
        <v>127.3</v>
      </c>
      <c r="N184">
        <v>118.8</v>
      </c>
      <c r="O184">
        <v>137.5</v>
      </c>
      <c r="P184">
        <v>129</v>
      </c>
      <c r="Q184">
        <v>149.5</v>
      </c>
      <c r="R184">
        <v>139.19999999999999</v>
      </c>
      <c r="S184">
        <v>154.69999999999999</v>
      </c>
      <c r="T184">
        <v>143.5</v>
      </c>
      <c r="U184">
        <v>135.5</v>
      </c>
      <c r="V184">
        <v>142.30000000000001</v>
      </c>
      <c r="W184" s="1">
        <v>140.4</v>
      </c>
      <c r="X184">
        <v>136.6</v>
      </c>
      <c r="Y184">
        <v>134.9</v>
      </c>
      <c r="Z184">
        <v>133.30000000000001</v>
      </c>
      <c r="AA184">
        <v>119.3</v>
      </c>
      <c r="AB184">
        <v>129.69999999999999</v>
      </c>
      <c r="AC184">
        <v>139</v>
      </c>
      <c r="AD184">
        <v>127.3</v>
      </c>
      <c r="AE184">
        <v>129.1</v>
      </c>
      <c r="AF184">
        <v>136.9</v>
      </c>
      <c r="AG184" s="2">
        <f>AVERAGE(All_India_Index_Upto_April23[[#This Row],[Food]:[General index]])</f>
        <v>200.60714285714286</v>
      </c>
      <c r="AH184" s="7">
        <f>DATE(All_India_Index_Upto_April23[[#This Row],[Year]],MONTH(1&amp;TRIM(All_India_Index_Upto_April23[[#This Row],[Month]])),1)</f>
        <v>43101</v>
      </c>
    </row>
    <row r="185" spans="1:34" x14ac:dyDescent="0.3">
      <c r="A185">
        <v>184</v>
      </c>
      <c r="B185" s="1" t="s">
        <v>18</v>
      </c>
      <c r="C185">
        <v>2018</v>
      </c>
      <c r="D185" s="1" t="s">
        <v>35</v>
      </c>
      <c r="E185" s="2">
        <v>1934.8</v>
      </c>
      <c r="F185">
        <v>136.4</v>
      </c>
      <c r="G185">
        <v>143.69999999999999</v>
      </c>
      <c r="H185">
        <v>140.6</v>
      </c>
      <c r="I185">
        <v>141.5</v>
      </c>
      <c r="J185">
        <v>122.9</v>
      </c>
      <c r="K185">
        <v>149.4</v>
      </c>
      <c r="L185">
        <v>142.4</v>
      </c>
      <c r="M185">
        <v>130.19999999999999</v>
      </c>
      <c r="N185">
        <v>117.9</v>
      </c>
      <c r="O185">
        <v>135.6</v>
      </c>
      <c r="P185">
        <v>130.5</v>
      </c>
      <c r="Q185">
        <v>151.69999999999999</v>
      </c>
      <c r="R185">
        <v>138.69999999999999</v>
      </c>
      <c r="S185">
        <v>153.30000000000001</v>
      </c>
      <c r="T185">
        <v>148.69999999999999</v>
      </c>
      <c r="U185">
        <v>142.4</v>
      </c>
      <c r="V185">
        <v>147.80000000000001</v>
      </c>
      <c r="W185" s="1">
        <v>139.12</v>
      </c>
      <c r="X185">
        <v>142.4</v>
      </c>
      <c r="Y185">
        <v>139.9</v>
      </c>
      <c r="Z185">
        <v>136.19999999999999</v>
      </c>
      <c r="AA185">
        <v>123.3</v>
      </c>
      <c r="AB185">
        <v>134.30000000000001</v>
      </c>
      <c r="AC185">
        <v>141.5</v>
      </c>
      <c r="AD185">
        <v>128.80000000000001</v>
      </c>
      <c r="AE185">
        <v>132.5</v>
      </c>
      <c r="AF185">
        <v>138.5</v>
      </c>
      <c r="AG185" s="2">
        <f>AVERAGE(All_India_Index_Upto_April23[[#This Row],[Food]:[General index]])</f>
        <v>202.32214285714281</v>
      </c>
      <c r="AH185" s="7">
        <f>DATE(All_India_Index_Upto_April23[[#This Row],[Year]],MONTH(1&amp;TRIM(All_India_Index_Upto_April23[[#This Row],[Month]])),1)</f>
        <v>43132</v>
      </c>
    </row>
    <row r="186" spans="1:34" x14ac:dyDescent="0.3">
      <c r="A186">
        <v>185</v>
      </c>
      <c r="B186" s="1" t="s">
        <v>33</v>
      </c>
      <c r="C186">
        <v>2018</v>
      </c>
      <c r="D186" s="1" t="s">
        <v>35</v>
      </c>
      <c r="E186" s="2">
        <v>1887.2</v>
      </c>
      <c r="F186">
        <v>134.80000000000001</v>
      </c>
      <c r="G186">
        <v>143</v>
      </c>
      <c r="H186">
        <v>139.9</v>
      </c>
      <c r="I186">
        <v>139.9</v>
      </c>
      <c r="J186">
        <v>116.2</v>
      </c>
      <c r="K186">
        <v>135.5</v>
      </c>
      <c r="L186">
        <v>136.9</v>
      </c>
      <c r="M186">
        <v>117</v>
      </c>
      <c r="N186">
        <v>115.4</v>
      </c>
      <c r="O186">
        <v>140.69999999999999</v>
      </c>
      <c r="P186">
        <v>125.9</v>
      </c>
      <c r="Q186">
        <v>147.1</v>
      </c>
      <c r="R186">
        <v>135.6</v>
      </c>
      <c r="S186">
        <v>159.30000000000001</v>
      </c>
      <c r="T186">
        <v>136.30000000000001</v>
      </c>
      <c r="U186">
        <v>126.1</v>
      </c>
      <c r="V186">
        <v>134.69999999999999</v>
      </c>
      <c r="W186" s="1">
        <v>141.30000000000001</v>
      </c>
      <c r="X186">
        <v>127.3</v>
      </c>
      <c r="Y186">
        <v>129.9</v>
      </c>
      <c r="Z186">
        <v>129.80000000000001</v>
      </c>
      <c r="AA186">
        <v>117.4</v>
      </c>
      <c r="AB186">
        <v>126.5</v>
      </c>
      <c r="AC186">
        <v>137.19999999999999</v>
      </c>
      <c r="AD186">
        <v>126.2</v>
      </c>
      <c r="AE186">
        <v>126.5</v>
      </c>
      <c r="AF186">
        <v>134</v>
      </c>
      <c r="AG186" s="2">
        <f>AVERAGE(All_India_Index_Upto_April23[[#This Row],[Food]:[General index]])</f>
        <v>195.27142857142854</v>
      </c>
      <c r="AH186" s="7">
        <f>DATE(All_India_Index_Upto_April23[[#This Row],[Year]],MONTH(1&amp;TRIM(All_India_Index_Upto_April23[[#This Row],[Month]])),1)</f>
        <v>43132</v>
      </c>
    </row>
    <row r="187" spans="1:34" x14ac:dyDescent="0.3">
      <c r="A187">
        <v>186</v>
      </c>
      <c r="B187" s="1" t="s">
        <v>34</v>
      </c>
      <c r="C187">
        <v>2018</v>
      </c>
      <c r="D187" s="1" t="s">
        <v>35</v>
      </c>
      <c r="E187" s="2">
        <v>1915.2999999999997</v>
      </c>
      <c r="F187">
        <v>135.9</v>
      </c>
      <c r="G187">
        <v>143.5</v>
      </c>
      <c r="H187">
        <v>140.30000000000001</v>
      </c>
      <c r="I187">
        <v>140.9</v>
      </c>
      <c r="J187">
        <v>120.4</v>
      </c>
      <c r="K187">
        <v>142.9</v>
      </c>
      <c r="L187">
        <v>140.5</v>
      </c>
      <c r="M187">
        <v>125.8</v>
      </c>
      <c r="N187">
        <v>117.1</v>
      </c>
      <c r="O187">
        <v>137.30000000000001</v>
      </c>
      <c r="P187">
        <v>128.6</v>
      </c>
      <c r="Q187">
        <v>149.6</v>
      </c>
      <c r="R187">
        <v>137.6</v>
      </c>
      <c r="S187">
        <v>154.9</v>
      </c>
      <c r="T187">
        <v>143.80000000000001</v>
      </c>
      <c r="U187">
        <v>135.6</v>
      </c>
      <c r="V187">
        <v>142.6</v>
      </c>
      <c r="W187" s="1">
        <v>141.30000000000001</v>
      </c>
      <c r="X187">
        <v>136.69999999999999</v>
      </c>
      <c r="Y187">
        <v>135.19999999999999</v>
      </c>
      <c r="Z187">
        <v>133.80000000000001</v>
      </c>
      <c r="AA187">
        <v>120.2</v>
      </c>
      <c r="AB187">
        <v>129.9</v>
      </c>
      <c r="AC187">
        <v>139</v>
      </c>
      <c r="AD187">
        <v>127.7</v>
      </c>
      <c r="AE187">
        <v>129.6</v>
      </c>
      <c r="AF187">
        <v>136.4</v>
      </c>
      <c r="AG187" s="2">
        <f>AVERAGE(All_India_Index_Upto_April23[[#This Row],[Food]:[General index]])</f>
        <v>199.37142857142859</v>
      </c>
      <c r="AH187" s="7">
        <f>DATE(All_India_Index_Upto_April23[[#This Row],[Year]],MONTH(1&amp;TRIM(All_India_Index_Upto_April23[[#This Row],[Month]])),1)</f>
        <v>43132</v>
      </c>
    </row>
    <row r="188" spans="1:34" x14ac:dyDescent="0.3">
      <c r="A188">
        <v>187</v>
      </c>
      <c r="B188" s="1" t="s">
        <v>18</v>
      </c>
      <c r="C188">
        <v>2018</v>
      </c>
      <c r="D188" s="1" t="s">
        <v>36</v>
      </c>
      <c r="E188" s="2">
        <v>1937.0999999999997</v>
      </c>
      <c r="F188">
        <v>136.80000000000001</v>
      </c>
      <c r="G188">
        <v>143.80000000000001</v>
      </c>
      <c r="H188">
        <v>140</v>
      </c>
      <c r="I188">
        <v>142</v>
      </c>
      <c r="J188">
        <v>123.2</v>
      </c>
      <c r="K188">
        <v>152.9</v>
      </c>
      <c r="L188">
        <v>138</v>
      </c>
      <c r="M188">
        <v>129.30000000000001</v>
      </c>
      <c r="N188">
        <v>117.1</v>
      </c>
      <c r="O188">
        <v>136.30000000000001</v>
      </c>
      <c r="P188">
        <v>131.19999999999999</v>
      </c>
      <c r="Q188">
        <v>152.80000000000001</v>
      </c>
      <c r="R188">
        <v>138.6</v>
      </c>
      <c r="S188">
        <v>155.1</v>
      </c>
      <c r="T188">
        <v>149.19999999999999</v>
      </c>
      <c r="U188">
        <v>143</v>
      </c>
      <c r="V188">
        <v>148.30000000000001</v>
      </c>
      <c r="W188" s="1">
        <v>139.12</v>
      </c>
      <c r="X188">
        <v>142.6</v>
      </c>
      <c r="Y188">
        <v>139.9</v>
      </c>
      <c r="Z188">
        <v>136.69999999999999</v>
      </c>
      <c r="AA188">
        <v>124.6</v>
      </c>
      <c r="AB188">
        <v>135.1</v>
      </c>
      <c r="AC188">
        <v>142.69999999999999</v>
      </c>
      <c r="AD188">
        <v>129.30000000000001</v>
      </c>
      <c r="AE188">
        <v>133.30000000000001</v>
      </c>
      <c r="AF188">
        <v>138.69999999999999</v>
      </c>
      <c r="AG188" s="2">
        <f>AVERAGE(All_India_Index_Upto_April23[[#This Row],[Food]:[General index]])</f>
        <v>202.74</v>
      </c>
      <c r="AH188" s="7">
        <f>DATE(All_India_Index_Upto_April23[[#This Row],[Year]],MONTH(1&amp;TRIM(All_India_Index_Upto_April23[[#This Row],[Month]])),1)</f>
        <v>43160</v>
      </c>
    </row>
    <row r="189" spans="1:34" x14ac:dyDescent="0.3">
      <c r="A189">
        <v>188</v>
      </c>
      <c r="B189" s="1" t="s">
        <v>33</v>
      </c>
      <c r="C189">
        <v>2018</v>
      </c>
      <c r="D189" s="1" t="s">
        <v>36</v>
      </c>
      <c r="E189" s="2">
        <v>1875.2</v>
      </c>
      <c r="F189">
        <v>135</v>
      </c>
      <c r="G189">
        <v>143.1</v>
      </c>
      <c r="H189">
        <v>135.5</v>
      </c>
      <c r="I189">
        <v>139.9</v>
      </c>
      <c r="J189">
        <v>116.5</v>
      </c>
      <c r="K189">
        <v>138.5</v>
      </c>
      <c r="L189">
        <v>128</v>
      </c>
      <c r="M189">
        <v>115.5</v>
      </c>
      <c r="N189">
        <v>114.2</v>
      </c>
      <c r="O189">
        <v>140.69999999999999</v>
      </c>
      <c r="P189">
        <v>126.2</v>
      </c>
      <c r="Q189">
        <v>147.6</v>
      </c>
      <c r="R189">
        <v>134.80000000000001</v>
      </c>
      <c r="S189">
        <v>159.69999999999999</v>
      </c>
      <c r="T189">
        <v>136.69999999999999</v>
      </c>
      <c r="U189">
        <v>126.7</v>
      </c>
      <c r="V189">
        <v>135.19999999999999</v>
      </c>
      <c r="W189" s="1">
        <v>142</v>
      </c>
      <c r="X189">
        <v>126.4</v>
      </c>
      <c r="Y189">
        <v>130.80000000000001</v>
      </c>
      <c r="Z189">
        <v>130.5</v>
      </c>
      <c r="AA189">
        <v>117.8</v>
      </c>
      <c r="AB189">
        <v>126.8</v>
      </c>
      <c r="AC189">
        <v>137.80000000000001</v>
      </c>
      <c r="AD189">
        <v>126.7</v>
      </c>
      <c r="AE189">
        <v>127.1</v>
      </c>
      <c r="AF189">
        <v>134</v>
      </c>
      <c r="AG189" s="2">
        <f>AVERAGE(All_India_Index_Upto_April23[[#This Row],[Food]:[General index]])</f>
        <v>194.60357142857143</v>
      </c>
      <c r="AH189" s="7">
        <f>DATE(All_India_Index_Upto_April23[[#This Row],[Year]],MONTH(1&amp;TRIM(All_India_Index_Upto_April23[[#This Row],[Month]])),1)</f>
        <v>43160</v>
      </c>
    </row>
    <row r="190" spans="1:34" x14ac:dyDescent="0.3">
      <c r="A190">
        <v>189</v>
      </c>
      <c r="B190" s="1" t="s">
        <v>34</v>
      </c>
      <c r="C190">
        <v>2018</v>
      </c>
      <c r="D190" s="1" t="s">
        <v>36</v>
      </c>
      <c r="E190" s="2">
        <v>1912.3</v>
      </c>
      <c r="F190">
        <v>136.19999999999999</v>
      </c>
      <c r="G190">
        <v>143.6</v>
      </c>
      <c r="H190">
        <v>138.30000000000001</v>
      </c>
      <c r="I190">
        <v>141.19999999999999</v>
      </c>
      <c r="J190">
        <v>120.7</v>
      </c>
      <c r="K190">
        <v>146.19999999999999</v>
      </c>
      <c r="L190">
        <v>134.6</v>
      </c>
      <c r="M190">
        <v>124.6</v>
      </c>
      <c r="N190">
        <v>116.1</v>
      </c>
      <c r="O190">
        <v>137.80000000000001</v>
      </c>
      <c r="P190">
        <v>129.1</v>
      </c>
      <c r="Q190">
        <v>150.4</v>
      </c>
      <c r="R190">
        <v>137.19999999999999</v>
      </c>
      <c r="S190">
        <v>156.30000000000001</v>
      </c>
      <c r="T190">
        <v>144.30000000000001</v>
      </c>
      <c r="U190">
        <v>136.19999999999999</v>
      </c>
      <c r="V190">
        <v>143.1</v>
      </c>
      <c r="W190" s="1">
        <v>142</v>
      </c>
      <c r="X190">
        <v>136.5</v>
      </c>
      <c r="Y190">
        <v>135.6</v>
      </c>
      <c r="Z190">
        <v>134.30000000000001</v>
      </c>
      <c r="AA190">
        <v>121</v>
      </c>
      <c r="AB190">
        <v>130.4</v>
      </c>
      <c r="AC190">
        <v>139.80000000000001</v>
      </c>
      <c r="AD190">
        <v>128.19999999999999</v>
      </c>
      <c r="AE190">
        <v>130.30000000000001</v>
      </c>
      <c r="AF190">
        <v>136.5</v>
      </c>
      <c r="AG190" s="2">
        <f>AVERAGE(All_India_Index_Upto_April23[[#This Row],[Food]:[General index]])</f>
        <v>199.3857142857143</v>
      </c>
      <c r="AH190" s="7">
        <f>DATE(All_India_Index_Upto_April23[[#This Row],[Year]],MONTH(1&amp;TRIM(All_India_Index_Upto_April23[[#This Row],[Month]])),1)</f>
        <v>43160</v>
      </c>
    </row>
    <row r="191" spans="1:34" x14ac:dyDescent="0.3">
      <c r="A191">
        <v>190</v>
      </c>
      <c r="B191" s="1" t="s">
        <v>18</v>
      </c>
      <c r="C191">
        <v>2018</v>
      </c>
      <c r="D191" s="1" t="s">
        <v>37</v>
      </c>
      <c r="E191" s="2">
        <v>1936.1</v>
      </c>
      <c r="F191">
        <v>137.1</v>
      </c>
      <c r="G191">
        <v>144.5</v>
      </c>
      <c r="H191">
        <v>135.9</v>
      </c>
      <c r="I191">
        <v>142.4</v>
      </c>
      <c r="J191">
        <v>123.5</v>
      </c>
      <c r="K191">
        <v>156.4</v>
      </c>
      <c r="L191">
        <v>135.1</v>
      </c>
      <c r="M191">
        <v>128.4</v>
      </c>
      <c r="N191">
        <v>115.2</v>
      </c>
      <c r="O191">
        <v>137.19999999999999</v>
      </c>
      <c r="P191">
        <v>131.9</v>
      </c>
      <c r="Q191">
        <v>153.80000000000001</v>
      </c>
      <c r="R191">
        <v>138.6</v>
      </c>
      <c r="S191">
        <v>156.1</v>
      </c>
      <c r="T191">
        <v>150.1</v>
      </c>
      <c r="U191">
        <v>143.30000000000001</v>
      </c>
      <c r="V191">
        <v>149.1</v>
      </c>
      <c r="W191" s="1">
        <v>139.12</v>
      </c>
      <c r="X191">
        <v>143.80000000000001</v>
      </c>
      <c r="Y191">
        <v>140.9</v>
      </c>
      <c r="Z191">
        <v>137.6</v>
      </c>
      <c r="AA191">
        <v>125.3</v>
      </c>
      <c r="AB191">
        <v>136</v>
      </c>
      <c r="AC191">
        <v>143.69999999999999</v>
      </c>
      <c r="AD191">
        <v>130.4</v>
      </c>
      <c r="AE191">
        <v>134.19999999999999</v>
      </c>
      <c r="AF191">
        <v>139.1</v>
      </c>
      <c r="AG191" s="2">
        <f>AVERAGE(All_India_Index_Upto_April23[[#This Row],[Food]:[General index]])</f>
        <v>203.02928571428569</v>
      </c>
      <c r="AH191" s="7">
        <f>DATE(All_India_Index_Upto_April23[[#This Row],[Year]],MONTH(1&amp;TRIM(All_India_Index_Upto_April23[[#This Row],[Month]])),1)</f>
        <v>43191</v>
      </c>
    </row>
    <row r="192" spans="1:34" x14ac:dyDescent="0.3">
      <c r="A192">
        <v>191</v>
      </c>
      <c r="B192" s="1" t="s">
        <v>33</v>
      </c>
      <c r="C192">
        <v>2018</v>
      </c>
      <c r="D192" s="1" t="s">
        <v>37</v>
      </c>
      <c r="E192" s="2">
        <v>1879.2000000000003</v>
      </c>
      <c r="F192">
        <v>135</v>
      </c>
      <c r="G192">
        <v>144.30000000000001</v>
      </c>
      <c r="H192">
        <v>130.80000000000001</v>
      </c>
      <c r="I192">
        <v>140.30000000000001</v>
      </c>
      <c r="J192">
        <v>116.6</v>
      </c>
      <c r="K192">
        <v>150.1</v>
      </c>
      <c r="L192">
        <v>127.6</v>
      </c>
      <c r="M192">
        <v>114</v>
      </c>
      <c r="N192">
        <v>110.6</v>
      </c>
      <c r="O192">
        <v>140.19999999999999</v>
      </c>
      <c r="P192">
        <v>126.5</v>
      </c>
      <c r="Q192">
        <v>148.30000000000001</v>
      </c>
      <c r="R192">
        <v>135.69999999999999</v>
      </c>
      <c r="S192">
        <v>159.19999999999999</v>
      </c>
      <c r="T192">
        <v>137.80000000000001</v>
      </c>
      <c r="U192">
        <v>127.4</v>
      </c>
      <c r="V192">
        <v>136.19999999999999</v>
      </c>
      <c r="W192" s="1">
        <v>142.9</v>
      </c>
      <c r="X192">
        <v>124.6</v>
      </c>
      <c r="Y192">
        <v>131.80000000000001</v>
      </c>
      <c r="Z192">
        <v>131.30000000000001</v>
      </c>
      <c r="AA192">
        <v>118.9</v>
      </c>
      <c r="AB192">
        <v>127.6</v>
      </c>
      <c r="AC192">
        <v>139.69999999999999</v>
      </c>
      <c r="AD192">
        <v>127.6</v>
      </c>
      <c r="AE192">
        <v>128.19999999999999</v>
      </c>
      <c r="AF192">
        <v>134.80000000000001</v>
      </c>
      <c r="AG192" s="2">
        <f>AVERAGE(All_India_Index_Upto_April23[[#This Row],[Food]:[General index]])</f>
        <v>195.2571428571429</v>
      </c>
      <c r="AH192" s="7">
        <f>DATE(All_India_Index_Upto_April23[[#This Row],[Year]],MONTH(1&amp;TRIM(All_India_Index_Upto_April23[[#This Row],[Month]])),1)</f>
        <v>43191</v>
      </c>
    </row>
    <row r="193" spans="1:34" x14ac:dyDescent="0.3">
      <c r="A193">
        <v>192</v>
      </c>
      <c r="B193" s="1" t="s">
        <v>34</v>
      </c>
      <c r="C193">
        <v>2018</v>
      </c>
      <c r="D193" s="1" t="s">
        <v>37</v>
      </c>
      <c r="E193" s="2">
        <v>1914.0000000000002</v>
      </c>
      <c r="F193">
        <v>136.4</v>
      </c>
      <c r="G193">
        <v>144.4</v>
      </c>
      <c r="H193">
        <v>133.9</v>
      </c>
      <c r="I193">
        <v>141.6</v>
      </c>
      <c r="J193">
        <v>121</v>
      </c>
      <c r="K193">
        <v>153.5</v>
      </c>
      <c r="L193">
        <v>132.6</v>
      </c>
      <c r="M193">
        <v>123.5</v>
      </c>
      <c r="N193">
        <v>113.7</v>
      </c>
      <c r="O193">
        <v>138.19999999999999</v>
      </c>
      <c r="P193">
        <v>129.6</v>
      </c>
      <c r="Q193">
        <v>151.19999999999999</v>
      </c>
      <c r="R193">
        <v>137.5</v>
      </c>
      <c r="S193">
        <v>156.9</v>
      </c>
      <c r="T193">
        <v>145.30000000000001</v>
      </c>
      <c r="U193">
        <v>136.69999999999999</v>
      </c>
      <c r="V193">
        <v>144</v>
      </c>
      <c r="W193" s="1">
        <v>142.9</v>
      </c>
      <c r="X193">
        <v>136.5</v>
      </c>
      <c r="Y193">
        <v>136.6</v>
      </c>
      <c r="Z193">
        <v>135.19999999999999</v>
      </c>
      <c r="AA193">
        <v>121.9</v>
      </c>
      <c r="AB193">
        <v>131.30000000000001</v>
      </c>
      <c r="AC193">
        <v>141.4</v>
      </c>
      <c r="AD193">
        <v>129.19999999999999</v>
      </c>
      <c r="AE193">
        <v>131.30000000000001</v>
      </c>
      <c r="AF193">
        <v>137.1</v>
      </c>
      <c r="AG193" s="2">
        <f>AVERAGE(All_India_Index_Upto_April23[[#This Row],[Food]:[General index]])</f>
        <v>199.90714285714284</v>
      </c>
      <c r="AH193" s="7">
        <f>DATE(All_India_Index_Upto_April23[[#This Row],[Year]],MONTH(1&amp;TRIM(All_India_Index_Upto_April23[[#This Row],[Month]])),1)</f>
        <v>43191</v>
      </c>
    </row>
    <row r="194" spans="1:34" x14ac:dyDescent="0.3">
      <c r="A194">
        <v>193</v>
      </c>
      <c r="B194" s="1" t="s">
        <v>18</v>
      </c>
      <c r="C194">
        <v>2018</v>
      </c>
      <c r="D194" s="1" t="s">
        <v>38</v>
      </c>
      <c r="E194" s="2">
        <v>1939.4</v>
      </c>
      <c r="F194">
        <v>137.4</v>
      </c>
      <c r="G194">
        <v>145.69999999999999</v>
      </c>
      <c r="H194">
        <v>135.5</v>
      </c>
      <c r="I194">
        <v>142.9</v>
      </c>
      <c r="J194">
        <v>123.6</v>
      </c>
      <c r="K194">
        <v>157.5</v>
      </c>
      <c r="L194">
        <v>137.80000000000001</v>
      </c>
      <c r="M194">
        <v>127.2</v>
      </c>
      <c r="N194">
        <v>111.8</v>
      </c>
      <c r="O194">
        <v>137.4</v>
      </c>
      <c r="P194">
        <v>132.19999999999999</v>
      </c>
      <c r="Q194">
        <v>154.30000000000001</v>
      </c>
      <c r="R194">
        <v>139.1</v>
      </c>
      <c r="S194">
        <v>157</v>
      </c>
      <c r="T194">
        <v>150.80000000000001</v>
      </c>
      <c r="U194">
        <v>144.1</v>
      </c>
      <c r="V194">
        <v>149.80000000000001</v>
      </c>
      <c r="W194" s="1">
        <v>139.12</v>
      </c>
      <c r="X194">
        <v>144.30000000000001</v>
      </c>
      <c r="Y194">
        <v>141.80000000000001</v>
      </c>
      <c r="Z194">
        <v>138.4</v>
      </c>
      <c r="AA194">
        <v>126.4</v>
      </c>
      <c r="AB194">
        <v>136.80000000000001</v>
      </c>
      <c r="AC194">
        <v>144.4</v>
      </c>
      <c r="AD194">
        <v>131.19999999999999</v>
      </c>
      <c r="AE194">
        <v>135.1</v>
      </c>
      <c r="AF194">
        <v>139.80000000000001</v>
      </c>
      <c r="AG194" s="2">
        <f>AVERAGE(All_India_Index_Upto_April23[[#This Row],[Food]:[General index]])</f>
        <v>203.6007142857143</v>
      </c>
      <c r="AH194" s="7">
        <f>DATE(All_India_Index_Upto_April23[[#This Row],[Year]],MONTH(1&amp;TRIM(All_India_Index_Upto_April23[[#This Row],[Month]])),1)</f>
        <v>43221</v>
      </c>
    </row>
    <row r="195" spans="1:34" x14ac:dyDescent="0.3">
      <c r="A195">
        <v>194</v>
      </c>
      <c r="B195" s="1" t="s">
        <v>33</v>
      </c>
      <c r="C195">
        <v>2018</v>
      </c>
      <c r="D195" s="1" t="s">
        <v>38</v>
      </c>
      <c r="E195" s="2">
        <v>1883.1999999999998</v>
      </c>
      <c r="F195">
        <v>135</v>
      </c>
      <c r="G195">
        <v>148.19999999999999</v>
      </c>
      <c r="H195">
        <v>130.5</v>
      </c>
      <c r="I195">
        <v>140.69999999999999</v>
      </c>
      <c r="J195">
        <v>116.4</v>
      </c>
      <c r="K195">
        <v>151.30000000000001</v>
      </c>
      <c r="L195">
        <v>131.4</v>
      </c>
      <c r="M195">
        <v>112.8</v>
      </c>
      <c r="N195">
        <v>105.3</v>
      </c>
      <c r="O195">
        <v>139.6</v>
      </c>
      <c r="P195">
        <v>126.6</v>
      </c>
      <c r="Q195">
        <v>148.69999999999999</v>
      </c>
      <c r="R195">
        <v>136.4</v>
      </c>
      <c r="S195">
        <v>160.30000000000001</v>
      </c>
      <c r="T195">
        <v>138.6</v>
      </c>
      <c r="U195">
        <v>127.9</v>
      </c>
      <c r="V195">
        <v>137</v>
      </c>
      <c r="W195" s="1">
        <v>143.19999999999999</v>
      </c>
      <c r="X195">
        <v>124.7</v>
      </c>
      <c r="Y195">
        <v>132.5</v>
      </c>
      <c r="Z195">
        <v>132</v>
      </c>
      <c r="AA195">
        <v>119.8</v>
      </c>
      <c r="AB195">
        <v>128</v>
      </c>
      <c r="AC195">
        <v>140.4</v>
      </c>
      <c r="AD195">
        <v>128.1</v>
      </c>
      <c r="AE195">
        <v>128.9</v>
      </c>
      <c r="AF195">
        <v>135.4</v>
      </c>
      <c r="AG195" s="2">
        <f>AVERAGE(All_India_Index_Upto_April23[[#This Row],[Food]:[General index]])</f>
        <v>195.81785714285709</v>
      </c>
      <c r="AH195" s="7">
        <f>DATE(All_India_Index_Upto_April23[[#This Row],[Year]],MONTH(1&amp;TRIM(All_India_Index_Upto_April23[[#This Row],[Month]])),1)</f>
        <v>43221</v>
      </c>
    </row>
    <row r="196" spans="1:34" x14ac:dyDescent="0.3">
      <c r="A196">
        <v>195</v>
      </c>
      <c r="B196" s="1" t="s">
        <v>34</v>
      </c>
      <c r="C196">
        <v>2018</v>
      </c>
      <c r="D196" s="1" t="s">
        <v>38</v>
      </c>
      <c r="E196" s="2">
        <v>1917.7</v>
      </c>
      <c r="F196">
        <v>136.6</v>
      </c>
      <c r="G196">
        <v>146.6</v>
      </c>
      <c r="H196">
        <v>133.6</v>
      </c>
      <c r="I196">
        <v>142.1</v>
      </c>
      <c r="J196">
        <v>121</v>
      </c>
      <c r="K196">
        <v>154.6</v>
      </c>
      <c r="L196">
        <v>135.6</v>
      </c>
      <c r="M196">
        <v>122.3</v>
      </c>
      <c r="N196">
        <v>109.6</v>
      </c>
      <c r="O196">
        <v>138.1</v>
      </c>
      <c r="P196">
        <v>129.9</v>
      </c>
      <c r="Q196">
        <v>151.69999999999999</v>
      </c>
      <c r="R196">
        <v>138.1</v>
      </c>
      <c r="S196">
        <v>157.9</v>
      </c>
      <c r="T196">
        <v>146</v>
      </c>
      <c r="U196">
        <v>137.4</v>
      </c>
      <c r="V196">
        <v>144.69999999999999</v>
      </c>
      <c r="W196" s="1">
        <v>143.19999999999999</v>
      </c>
      <c r="X196">
        <v>136.9</v>
      </c>
      <c r="Y196">
        <v>137.4</v>
      </c>
      <c r="Z196">
        <v>136</v>
      </c>
      <c r="AA196">
        <v>122.9</v>
      </c>
      <c r="AB196">
        <v>131.80000000000001</v>
      </c>
      <c r="AC196">
        <v>142.1</v>
      </c>
      <c r="AD196">
        <v>129.9</v>
      </c>
      <c r="AE196">
        <v>132.1</v>
      </c>
      <c r="AF196">
        <v>137.80000000000001</v>
      </c>
      <c r="AG196" s="2">
        <f>AVERAGE(All_India_Index_Upto_April23[[#This Row],[Food]:[General index]])</f>
        <v>200.48571428571424</v>
      </c>
      <c r="AH196" s="7">
        <f>DATE(All_India_Index_Upto_April23[[#This Row],[Year]],MONTH(1&amp;TRIM(All_India_Index_Upto_April23[[#This Row],[Month]])),1)</f>
        <v>43221</v>
      </c>
    </row>
    <row r="197" spans="1:34" x14ac:dyDescent="0.3">
      <c r="A197">
        <v>196</v>
      </c>
      <c r="B197" s="1" t="s">
        <v>18</v>
      </c>
      <c r="C197">
        <v>2018</v>
      </c>
      <c r="D197" s="1" t="s">
        <v>39</v>
      </c>
      <c r="E197" s="2">
        <v>1947.5999999999997</v>
      </c>
      <c r="F197">
        <v>137.6</v>
      </c>
      <c r="G197">
        <v>148.1</v>
      </c>
      <c r="H197">
        <v>136.69999999999999</v>
      </c>
      <c r="I197">
        <v>143.19999999999999</v>
      </c>
      <c r="J197">
        <v>124</v>
      </c>
      <c r="K197">
        <v>154.1</v>
      </c>
      <c r="L197">
        <v>143.5</v>
      </c>
      <c r="M197">
        <v>126</v>
      </c>
      <c r="N197">
        <v>112.4</v>
      </c>
      <c r="O197">
        <v>137.6</v>
      </c>
      <c r="P197">
        <v>132.80000000000001</v>
      </c>
      <c r="Q197">
        <v>154.30000000000001</v>
      </c>
      <c r="R197">
        <v>140</v>
      </c>
      <c r="S197">
        <v>157.30000000000001</v>
      </c>
      <c r="T197">
        <v>151.30000000000001</v>
      </c>
      <c r="U197">
        <v>144.69999999999999</v>
      </c>
      <c r="V197">
        <v>150.30000000000001</v>
      </c>
      <c r="W197" s="1">
        <v>139.12</v>
      </c>
      <c r="X197">
        <v>145.1</v>
      </c>
      <c r="Y197">
        <v>142.19999999999999</v>
      </c>
      <c r="Z197">
        <v>138.4</v>
      </c>
      <c r="AA197">
        <v>127.4</v>
      </c>
      <c r="AB197">
        <v>137.80000000000001</v>
      </c>
      <c r="AC197">
        <v>145.1</v>
      </c>
      <c r="AD197">
        <v>131.4</v>
      </c>
      <c r="AE197">
        <v>135.6</v>
      </c>
      <c r="AF197">
        <v>140.5</v>
      </c>
      <c r="AG197" s="2">
        <f>AVERAGE(All_India_Index_Upto_April23[[#This Row],[Food]:[General index]])</f>
        <v>204.43285714285713</v>
      </c>
      <c r="AH197" s="7">
        <f>DATE(All_India_Index_Upto_April23[[#This Row],[Year]],MONTH(1&amp;TRIM(All_India_Index_Upto_April23[[#This Row],[Month]])),1)</f>
        <v>43252</v>
      </c>
    </row>
    <row r="198" spans="1:34" x14ac:dyDescent="0.3">
      <c r="A198">
        <v>197</v>
      </c>
      <c r="B198" s="1" t="s">
        <v>33</v>
      </c>
      <c r="C198">
        <v>2018</v>
      </c>
      <c r="D198" s="1" t="s">
        <v>39</v>
      </c>
      <c r="E198" s="2">
        <v>1908.3000000000002</v>
      </c>
      <c r="F198">
        <v>135.30000000000001</v>
      </c>
      <c r="G198">
        <v>149.69999999999999</v>
      </c>
      <c r="H198">
        <v>133.9</v>
      </c>
      <c r="I198">
        <v>140.80000000000001</v>
      </c>
      <c r="J198">
        <v>116.6</v>
      </c>
      <c r="K198">
        <v>152.19999999999999</v>
      </c>
      <c r="L198">
        <v>144</v>
      </c>
      <c r="M198">
        <v>112.3</v>
      </c>
      <c r="N198">
        <v>108.4</v>
      </c>
      <c r="O198">
        <v>140</v>
      </c>
      <c r="P198">
        <v>126.7</v>
      </c>
      <c r="Q198">
        <v>149</v>
      </c>
      <c r="R198">
        <v>138.4</v>
      </c>
      <c r="S198">
        <v>161</v>
      </c>
      <c r="T198">
        <v>138.9</v>
      </c>
      <c r="U198">
        <v>128.69999999999999</v>
      </c>
      <c r="V198">
        <v>137.4</v>
      </c>
      <c r="W198" s="1">
        <v>142.5</v>
      </c>
      <c r="X198">
        <v>126.5</v>
      </c>
      <c r="Y198">
        <v>133.1</v>
      </c>
      <c r="Z198">
        <v>132.6</v>
      </c>
      <c r="AA198">
        <v>120.4</v>
      </c>
      <c r="AB198">
        <v>128.5</v>
      </c>
      <c r="AC198">
        <v>141.19999999999999</v>
      </c>
      <c r="AD198">
        <v>128.19999999999999</v>
      </c>
      <c r="AE198">
        <v>129.5</v>
      </c>
      <c r="AF198">
        <v>136.19999999999999</v>
      </c>
      <c r="AG198" s="2">
        <f>AVERAGE(All_India_Index_Upto_April23[[#This Row],[Food]:[General index]])</f>
        <v>197.86785714285716</v>
      </c>
      <c r="AH198" s="7">
        <f>DATE(All_India_Index_Upto_April23[[#This Row],[Year]],MONTH(1&amp;TRIM(All_India_Index_Upto_April23[[#This Row],[Month]])),1)</f>
        <v>43252</v>
      </c>
    </row>
    <row r="199" spans="1:34" x14ac:dyDescent="0.3">
      <c r="A199">
        <v>198</v>
      </c>
      <c r="B199" s="1" t="s">
        <v>34</v>
      </c>
      <c r="C199">
        <v>2018</v>
      </c>
      <c r="D199" s="1" t="s">
        <v>39</v>
      </c>
      <c r="E199" s="2">
        <v>1932.4</v>
      </c>
      <c r="F199">
        <v>136.9</v>
      </c>
      <c r="G199">
        <v>148.69999999999999</v>
      </c>
      <c r="H199">
        <v>135.6</v>
      </c>
      <c r="I199">
        <v>142.30000000000001</v>
      </c>
      <c r="J199">
        <v>121.3</v>
      </c>
      <c r="K199">
        <v>153.19999999999999</v>
      </c>
      <c r="L199">
        <v>143.69999999999999</v>
      </c>
      <c r="M199">
        <v>121.4</v>
      </c>
      <c r="N199">
        <v>111.1</v>
      </c>
      <c r="O199">
        <v>138.4</v>
      </c>
      <c r="P199">
        <v>130.30000000000001</v>
      </c>
      <c r="Q199">
        <v>151.80000000000001</v>
      </c>
      <c r="R199">
        <v>139.4</v>
      </c>
      <c r="S199">
        <v>158.30000000000001</v>
      </c>
      <c r="T199">
        <v>146.4</v>
      </c>
      <c r="U199">
        <v>138.1</v>
      </c>
      <c r="V199">
        <v>145.19999999999999</v>
      </c>
      <c r="W199" s="1">
        <v>142.5</v>
      </c>
      <c r="X199">
        <v>138.1</v>
      </c>
      <c r="Y199">
        <v>137.9</v>
      </c>
      <c r="Z199">
        <v>136.19999999999999</v>
      </c>
      <c r="AA199">
        <v>123.7</v>
      </c>
      <c r="AB199">
        <v>132.6</v>
      </c>
      <c r="AC199">
        <v>142.80000000000001</v>
      </c>
      <c r="AD199">
        <v>130.1</v>
      </c>
      <c r="AE199">
        <v>132.6</v>
      </c>
      <c r="AF199">
        <v>138.5</v>
      </c>
      <c r="AG199" s="2">
        <f>AVERAGE(All_India_Index_Upto_April23[[#This Row],[Food]:[General index]])</f>
        <v>201.7678571428572</v>
      </c>
      <c r="AH199" s="7">
        <f>DATE(All_India_Index_Upto_April23[[#This Row],[Year]],MONTH(1&amp;TRIM(All_India_Index_Upto_April23[[#This Row],[Month]])),1)</f>
        <v>43252</v>
      </c>
    </row>
    <row r="200" spans="1:34" x14ac:dyDescent="0.3">
      <c r="A200">
        <v>199</v>
      </c>
      <c r="B200" s="1" t="s">
        <v>18</v>
      </c>
      <c r="C200">
        <v>2018</v>
      </c>
      <c r="D200" s="1" t="s">
        <v>40</v>
      </c>
      <c r="E200" s="2">
        <v>1966.6000000000001</v>
      </c>
      <c r="F200">
        <v>138.4</v>
      </c>
      <c r="G200">
        <v>149.30000000000001</v>
      </c>
      <c r="H200">
        <v>139.30000000000001</v>
      </c>
      <c r="I200">
        <v>143.4</v>
      </c>
      <c r="J200">
        <v>124.1</v>
      </c>
      <c r="K200">
        <v>153.30000000000001</v>
      </c>
      <c r="L200">
        <v>154.19999999999999</v>
      </c>
      <c r="M200">
        <v>126.4</v>
      </c>
      <c r="N200">
        <v>114.3</v>
      </c>
      <c r="O200">
        <v>138.19999999999999</v>
      </c>
      <c r="P200">
        <v>132.80000000000001</v>
      </c>
      <c r="Q200">
        <v>154.80000000000001</v>
      </c>
      <c r="R200">
        <v>142</v>
      </c>
      <c r="S200">
        <v>156.1</v>
      </c>
      <c r="T200">
        <v>151.5</v>
      </c>
      <c r="U200">
        <v>145.1</v>
      </c>
      <c r="V200">
        <v>150.6</v>
      </c>
      <c r="W200" s="1">
        <v>139.12</v>
      </c>
      <c r="X200">
        <v>146.80000000000001</v>
      </c>
      <c r="Y200">
        <v>143.1</v>
      </c>
      <c r="Z200">
        <v>139</v>
      </c>
      <c r="AA200">
        <v>127.5</v>
      </c>
      <c r="AB200">
        <v>138.4</v>
      </c>
      <c r="AC200">
        <v>145.80000000000001</v>
      </c>
      <c r="AD200">
        <v>131.4</v>
      </c>
      <c r="AE200">
        <v>136</v>
      </c>
      <c r="AF200">
        <v>141.80000000000001</v>
      </c>
      <c r="AG200" s="2">
        <f>AVERAGE(All_India_Index_Upto_April23[[#This Row],[Food]:[General index]])</f>
        <v>206.04714285714292</v>
      </c>
      <c r="AH200" s="7">
        <f>DATE(All_India_Index_Upto_April23[[#This Row],[Year]],MONTH(1&amp;TRIM(All_India_Index_Upto_April23[[#This Row],[Month]])),1)</f>
        <v>43282</v>
      </c>
    </row>
    <row r="201" spans="1:34" x14ac:dyDescent="0.3">
      <c r="A201">
        <v>200</v>
      </c>
      <c r="B201" s="1" t="s">
        <v>33</v>
      </c>
      <c r="C201">
        <v>2018</v>
      </c>
      <c r="D201" s="1" t="s">
        <v>40</v>
      </c>
      <c r="E201" s="2">
        <v>1932.5</v>
      </c>
      <c r="F201">
        <v>135.6</v>
      </c>
      <c r="G201">
        <v>148.6</v>
      </c>
      <c r="H201">
        <v>139.1</v>
      </c>
      <c r="I201">
        <v>141</v>
      </c>
      <c r="J201">
        <v>116.7</v>
      </c>
      <c r="K201">
        <v>149.69999999999999</v>
      </c>
      <c r="L201">
        <v>159.19999999999999</v>
      </c>
      <c r="M201">
        <v>112.6</v>
      </c>
      <c r="N201">
        <v>111.8</v>
      </c>
      <c r="O201">
        <v>140.30000000000001</v>
      </c>
      <c r="P201">
        <v>126.8</v>
      </c>
      <c r="Q201">
        <v>149.4</v>
      </c>
      <c r="R201">
        <v>140.30000000000001</v>
      </c>
      <c r="S201">
        <v>161.4</v>
      </c>
      <c r="T201">
        <v>139.6</v>
      </c>
      <c r="U201">
        <v>128.9</v>
      </c>
      <c r="V201">
        <v>137.9</v>
      </c>
      <c r="W201" s="1">
        <v>143.6</v>
      </c>
      <c r="X201">
        <v>128.1</v>
      </c>
      <c r="Y201">
        <v>133.6</v>
      </c>
      <c r="Z201">
        <v>133.6</v>
      </c>
      <c r="AA201">
        <v>120.1</v>
      </c>
      <c r="AB201">
        <v>129</v>
      </c>
      <c r="AC201">
        <v>144</v>
      </c>
      <c r="AD201">
        <v>128.19999999999999</v>
      </c>
      <c r="AE201">
        <v>130.19999999999999</v>
      </c>
      <c r="AF201">
        <v>137.5</v>
      </c>
      <c r="AG201" s="2">
        <f>AVERAGE(All_India_Index_Upto_April23[[#This Row],[Food]:[General index]])</f>
        <v>199.97500000000005</v>
      </c>
      <c r="AH201" s="7">
        <f>DATE(All_India_Index_Upto_April23[[#This Row],[Year]],MONTH(1&amp;TRIM(All_India_Index_Upto_April23[[#This Row],[Month]])),1)</f>
        <v>43282</v>
      </c>
    </row>
    <row r="202" spans="1:34" x14ac:dyDescent="0.3">
      <c r="A202">
        <v>201</v>
      </c>
      <c r="B202" s="1" t="s">
        <v>34</v>
      </c>
      <c r="C202">
        <v>2018</v>
      </c>
      <c r="D202" s="1" t="s">
        <v>40</v>
      </c>
      <c r="E202" s="2">
        <v>1952.8</v>
      </c>
      <c r="F202">
        <v>137.5</v>
      </c>
      <c r="G202">
        <v>149.1</v>
      </c>
      <c r="H202">
        <v>139.19999999999999</v>
      </c>
      <c r="I202">
        <v>142.5</v>
      </c>
      <c r="J202">
        <v>121.4</v>
      </c>
      <c r="K202">
        <v>151.6</v>
      </c>
      <c r="L202">
        <v>155.9</v>
      </c>
      <c r="M202">
        <v>121.7</v>
      </c>
      <c r="N202">
        <v>113.5</v>
      </c>
      <c r="O202">
        <v>138.9</v>
      </c>
      <c r="P202">
        <v>130.30000000000001</v>
      </c>
      <c r="Q202">
        <v>152.30000000000001</v>
      </c>
      <c r="R202">
        <v>141.4</v>
      </c>
      <c r="S202">
        <v>157.5</v>
      </c>
      <c r="T202">
        <v>146.80000000000001</v>
      </c>
      <c r="U202">
        <v>138.4</v>
      </c>
      <c r="V202">
        <v>145.6</v>
      </c>
      <c r="W202" s="1">
        <v>143.6</v>
      </c>
      <c r="X202">
        <v>139.69999999999999</v>
      </c>
      <c r="Y202">
        <v>138.6</v>
      </c>
      <c r="Z202">
        <v>137</v>
      </c>
      <c r="AA202">
        <v>123.6</v>
      </c>
      <c r="AB202">
        <v>133.1</v>
      </c>
      <c r="AC202">
        <v>144.69999999999999</v>
      </c>
      <c r="AD202">
        <v>130.1</v>
      </c>
      <c r="AE202">
        <v>133.19999999999999</v>
      </c>
      <c r="AF202">
        <v>139.80000000000001</v>
      </c>
      <c r="AG202" s="2">
        <f>AVERAGE(All_India_Index_Upto_April23[[#This Row],[Food]:[General index]])</f>
        <v>203.56428571428577</v>
      </c>
      <c r="AH202" s="7">
        <f>DATE(All_India_Index_Upto_April23[[#This Row],[Year]],MONTH(1&amp;TRIM(All_India_Index_Upto_April23[[#This Row],[Month]])),1)</f>
        <v>43282</v>
      </c>
    </row>
    <row r="203" spans="1:34" x14ac:dyDescent="0.3">
      <c r="A203">
        <v>202</v>
      </c>
      <c r="B203" s="1" t="s">
        <v>18</v>
      </c>
      <c r="C203">
        <v>2018</v>
      </c>
      <c r="D203" s="1" t="s">
        <v>41</v>
      </c>
      <c r="E203" s="2">
        <v>1975.2</v>
      </c>
      <c r="F203">
        <v>139.19999999999999</v>
      </c>
      <c r="G203">
        <v>148.80000000000001</v>
      </c>
      <c r="H203">
        <v>139.1</v>
      </c>
      <c r="I203">
        <v>143.5</v>
      </c>
      <c r="J203">
        <v>125</v>
      </c>
      <c r="K203">
        <v>154.4</v>
      </c>
      <c r="L203">
        <v>156.30000000000001</v>
      </c>
      <c r="M203">
        <v>126.8</v>
      </c>
      <c r="N203">
        <v>115.4</v>
      </c>
      <c r="O203">
        <v>138.6</v>
      </c>
      <c r="P203">
        <v>133.80000000000001</v>
      </c>
      <c r="Q203">
        <v>155.19999999999999</v>
      </c>
      <c r="R203">
        <v>142.69999999999999</v>
      </c>
      <c r="S203">
        <v>156.4</v>
      </c>
      <c r="T203">
        <v>152.1</v>
      </c>
      <c r="U203">
        <v>145.80000000000001</v>
      </c>
      <c r="V203">
        <v>151.30000000000001</v>
      </c>
      <c r="W203" s="1">
        <v>139.12</v>
      </c>
      <c r="X203">
        <v>147.69999999999999</v>
      </c>
      <c r="Y203">
        <v>143.80000000000001</v>
      </c>
      <c r="Z203">
        <v>139.4</v>
      </c>
      <c r="AA203">
        <v>128.30000000000001</v>
      </c>
      <c r="AB203">
        <v>138.6</v>
      </c>
      <c r="AC203">
        <v>146.9</v>
      </c>
      <c r="AD203">
        <v>131.30000000000001</v>
      </c>
      <c r="AE203">
        <v>136.6</v>
      </c>
      <c r="AF203">
        <v>142.5</v>
      </c>
      <c r="AG203" s="2">
        <f>AVERAGE(All_India_Index_Upto_April23[[#This Row],[Food]:[General index]])</f>
        <v>206.92214285714292</v>
      </c>
      <c r="AH203" s="7">
        <f>DATE(All_India_Index_Upto_April23[[#This Row],[Year]],MONTH(1&amp;TRIM(All_India_Index_Upto_April23[[#This Row],[Month]])),1)</f>
        <v>43313</v>
      </c>
    </row>
    <row r="204" spans="1:34" x14ac:dyDescent="0.3">
      <c r="A204">
        <v>203</v>
      </c>
      <c r="B204" s="1" t="s">
        <v>33</v>
      </c>
      <c r="C204">
        <v>2018</v>
      </c>
      <c r="D204" s="1" t="s">
        <v>41</v>
      </c>
      <c r="E204" s="2">
        <v>1929.6999999999998</v>
      </c>
      <c r="F204">
        <v>136.5</v>
      </c>
      <c r="G204">
        <v>146.4</v>
      </c>
      <c r="H204">
        <v>136.6</v>
      </c>
      <c r="I204">
        <v>141.19999999999999</v>
      </c>
      <c r="J204">
        <v>117.4</v>
      </c>
      <c r="K204">
        <v>146.30000000000001</v>
      </c>
      <c r="L204">
        <v>157.30000000000001</v>
      </c>
      <c r="M204">
        <v>113.6</v>
      </c>
      <c r="N204">
        <v>113.3</v>
      </c>
      <c r="O204">
        <v>141.1</v>
      </c>
      <c r="P204">
        <v>127.4</v>
      </c>
      <c r="Q204">
        <v>150.4</v>
      </c>
      <c r="R204">
        <v>140.1</v>
      </c>
      <c r="S204">
        <v>162.1</v>
      </c>
      <c r="T204">
        <v>140</v>
      </c>
      <c r="U204">
        <v>129</v>
      </c>
      <c r="V204">
        <v>138.30000000000001</v>
      </c>
      <c r="W204" s="1">
        <v>144.6</v>
      </c>
      <c r="X204">
        <v>129.80000000000001</v>
      </c>
      <c r="Y204">
        <v>134.4</v>
      </c>
      <c r="Z204">
        <v>134.9</v>
      </c>
      <c r="AA204">
        <v>120.7</v>
      </c>
      <c r="AB204">
        <v>129.80000000000001</v>
      </c>
      <c r="AC204">
        <v>145.30000000000001</v>
      </c>
      <c r="AD204">
        <v>128.30000000000001</v>
      </c>
      <c r="AE204">
        <v>131</v>
      </c>
      <c r="AF204">
        <v>138</v>
      </c>
      <c r="AG204" s="2">
        <f>AVERAGE(All_India_Index_Upto_April23[[#This Row],[Food]:[General index]])</f>
        <v>200.125</v>
      </c>
      <c r="AH204" s="7">
        <f>DATE(All_India_Index_Upto_April23[[#This Row],[Year]],MONTH(1&amp;TRIM(All_India_Index_Upto_April23[[#This Row],[Month]])),1)</f>
        <v>43313</v>
      </c>
    </row>
    <row r="205" spans="1:34" x14ac:dyDescent="0.3">
      <c r="A205">
        <v>204</v>
      </c>
      <c r="B205" s="1" t="s">
        <v>34</v>
      </c>
      <c r="C205">
        <v>2018</v>
      </c>
      <c r="D205" s="1" t="s">
        <v>41</v>
      </c>
      <c r="E205" s="2">
        <v>1956.6000000000004</v>
      </c>
      <c r="F205">
        <v>138.30000000000001</v>
      </c>
      <c r="G205">
        <v>148</v>
      </c>
      <c r="H205">
        <v>138.1</v>
      </c>
      <c r="I205">
        <v>142.6</v>
      </c>
      <c r="J205">
        <v>122.2</v>
      </c>
      <c r="K205">
        <v>150.6</v>
      </c>
      <c r="L205">
        <v>156.6</v>
      </c>
      <c r="M205">
        <v>122.4</v>
      </c>
      <c r="N205">
        <v>114.7</v>
      </c>
      <c r="O205">
        <v>139.4</v>
      </c>
      <c r="P205">
        <v>131.1</v>
      </c>
      <c r="Q205">
        <v>153</v>
      </c>
      <c r="R205">
        <v>141.69999999999999</v>
      </c>
      <c r="S205">
        <v>157.9</v>
      </c>
      <c r="T205">
        <v>147.30000000000001</v>
      </c>
      <c r="U205">
        <v>138.80000000000001</v>
      </c>
      <c r="V205">
        <v>146.1</v>
      </c>
      <c r="W205" s="1">
        <v>144.6</v>
      </c>
      <c r="X205">
        <v>140.9</v>
      </c>
      <c r="Y205">
        <v>139.4</v>
      </c>
      <c r="Z205">
        <v>137.69999999999999</v>
      </c>
      <c r="AA205">
        <v>124.3</v>
      </c>
      <c r="AB205">
        <v>133.6</v>
      </c>
      <c r="AC205">
        <v>146</v>
      </c>
      <c r="AD205">
        <v>130.1</v>
      </c>
      <c r="AE205">
        <v>133.9</v>
      </c>
      <c r="AF205">
        <v>140.4</v>
      </c>
      <c r="AG205" s="2">
        <f>AVERAGE(All_India_Index_Upto_April23[[#This Row],[Food]:[General index]])</f>
        <v>204.15357142857144</v>
      </c>
      <c r="AH205" s="7">
        <f>DATE(All_India_Index_Upto_April23[[#This Row],[Year]],MONTH(1&amp;TRIM(All_India_Index_Upto_April23[[#This Row],[Month]])),1)</f>
        <v>43313</v>
      </c>
    </row>
    <row r="206" spans="1:34" x14ac:dyDescent="0.3">
      <c r="A206">
        <v>205</v>
      </c>
      <c r="B206" s="1" t="s">
        <v>18</v>
      </c>
      <c r="C206">
        <v>2018</v>
      </c>
      <c r="D206" s="1" t="s">
        <v>42</v>
      </c>
      <c r="E206" s="2">
        <v>1957.5000000000002</v>
      </c>
      <c r="F206">
        <v>139.4</v>
      </c>
      <c r="G206">
        <v>147.19999999999999</v>
      </c>
      <c r="H206">
        <v>136.6</v>
      </c>
      <c r="I206">
        <v>143.69999999999999</v>
      </c>
      <c r="J206">
        <v>124.6</v>
      </c>
      <c r="K206">
        <v>150.1</v>
      </c>
      <c r="L206">
        <v>149.4</v>
      </c>
      <c r="M206">
        <v>125.4</v>
      </c>
      <c r="N206">
        <v>114.4</v>
      </c>
      <c r="O206">
        <v>138.69999999999999</v>
      </c>
      <c r="P206">
        <v>133.1</v>
      </c>
      <c r="Q206">
        <v>155.9</v>
      </c>
      <c r="R206">
        <v>141.30000000000001</v>
      </c>
      <c r="S206">
        <v>157.69999999999999</v>
      </c>
      <c r="T206">
        <v>152.1</v>
      </c>
      <c r="U206">
        <v>146.1</v>
      </c>
      <c r="V206">
        <v>151.30000000000001</v>
      </c>
      <c r="W206" s="1">
        <v>139.12</v>
      </c>
      <c r="X206">
        <v>149</v>
      </c>
      <c r="Y206">
        <v>144</v>
      </c>
      <c r="Z206">
        <v>140</v>
      </c>
      <c r="AA206">
        <v>129.9</v>
      </c>
      <c r="AB206">
        <v>140</v>
      </c>
      <c r="AC206">
        <v>147.6</v>
      </c>
      <c r="AD206">
        <v>132</v>
      </c>
      <c r="AE206">
        <v>137.4</v>
      </c>
      <c r="AF206">
        <v>142.1</v>
      </c>
      <c r="AG206" s="2">
        <f>AVERAGE(All_India_Index_Upto_April23[[#This Row],[Food]:[General index]])</f>
        <v>205.91499999999999</v>
      </c>
      <c r="AH206" s="7">
        <f>DATE(All_India_Index_Upto_April23[[#This Row],[Year]],MONTH(1&amp;TRIM(All_India_Index_Upto_April23[[#This Row],[Month]])),1)</f>
        <v>43344</v>
      </c>
    </row>
    <row r="207" spans="1:34" x14ac:dyDescent="0.3">
      <c r="A207">
        <v>206</v>
      </c>
      <c r="B207" s="1" t="s">
        <v>33</v>
      </c>
      <c r="C207">
        <v>2018</v>
      </c>
      <c r="D207" s="1" t="s">
        <v>42</v>
      </c>
      <c r="E207" s="2">
        <v>1911.7</v>
      </c>
      <c r="F207">
        <v>137</v>
      </c>
      <c r="G207">
        <v>143.1</v>
      </c>
      <c r="H207">
        <v>132.80000000000001</v>
      </c>
      <c r="I207">
        <v>141.5</v>
      </c>
      <c r="J207">
        <v>117.8</v>
      </c>
      <c r="K207">
        <v>140</v>
      </c>
      <c r="L207">
        <v>151.30000000000001</v>
      </c>
      <c r="M207">
        <v>113.5</v>
      </c>
      <c r="N207">
        <v>112.3</v>
      </c>
      <c r="O207">
        <v>141.19999999999999</v>
      </c>
      <c r="P207">
        <v>127.7</v>
      </c>
      <c r="Q207">
        <v>151.30000000000001</v>
      </c>
      <c r="R207">
        <v>138.9</v>
      </c>
      <c r="S207">
        <v>163.30000000000001</v>
      </c>
      <c r="T207">
        <v>140.80000000000001</v>
      </c>
      <c r="U207">
        <v>129.30000000000001</v>
      </c>
      <c r="V207">
        <v>139.1</v>
      </c>
      <c r="W207" s="1">
        <v>145.30000000000001</v>
      </c>
      <c r="X207">
        <v>131.19999999999999</v>
      </c>
      <c r="Y207">
        <v>134.9</v>
      </c>
      <c r="Z207">
        <v>135.69999999999999</v>
      </c>
      <c r="AA207">
        <v>122.5</v>
      </c>
      <c r="AB207">
        <v>130.19999999999999</v>
      </c>
      <c r="AC207">
        <v>145.19999999999999</v>
      </c>
      <c r="AD207">
        <v>129.30000000000001</v>
      </c>
      <c r="AE207">
        <v>131.9</v>
      </c>
      <c r="AF207">
        <v>138.1</v>
      </c>
      <c r="AG207" s="2">
        <f>AVERAGE(All_India_Index_Upto_April23[[#This Row],[Food]:[General index]])</f>
        <v>199.17500000000001</v>
      </c>
      <c r="AH207" s="7">
        <f>DATE(All_India_Index_Upto_April23[[#This Row],[Year]],MONTH(1&amp;TRIM(All_India_Index_Upto_April23[[#This Row],[Month]])),1)</f>
        <v>43344</v>
      </c>
    </row>
    <row r="208" spans="1:34" x14ac:dyDescent="0.3">
      <c r="A208">
        <v>207</v>
      </c>
      <c r="B208" s="1" t="s">
        <v>34</v>
      </c>
      <c r="C208">
        <v>2018</v>
      </c>
      <c r="D208" s="1" t="s">
        <v>42</v>
      </c>
      <c r="E208" s="2">
        <v>1938.7</v>
      </c>
      <c r="F208">
        <v>138.6</v>
      </c>
      <c r="G208">
        <v>145.80000000000001</v>
      </c>
      <c r="H208">
        <v>135.1</v>
      </c>
      <c r="I208">
        <v>142.9</v>
      </c>
      <c r="J208">
        <v>122.1</v>
      </c>
      <c r="K208">
        <v>145.4</v>
      </c>
      <c r="L208">
        <v>150</v>
      </c>
      <c r="M208">
        <v>121.4</v>
      </c>
      <c r="N208">
        <v>113.7</v>
      </c>
      <c r="O208">
        <v>139.5</v>
      </c>
      <c r="P208">
        <v>130.80000000000001</v>
      </c>
      <c r="Q208">
        <v>153.80000000000001</v>
      </c>
      <c r="R208">
        <v>140.4</v>
      </c>
      <c r="S208">
        <v>159.19999999999999</v>
      </c>
      <c r="T208">
        <v>147.69999999999999</v>
      </c>
      <c r="U208">
        <v>139.1</v>
      </c>
      <c r="V208">
        <v>146.5</v>
      </c>
      <c r="W208" s="1">
        <v>145.30000000000001</v>
      </c>
      <c r="X208">
        <v>142.30000000000001</v>
      </c>
      <c r="Y208">
        <v>139.69999999999999</v>
      </c>
      <c r="Z208">
        <v>138.4</v>
      </c>
      <c r="AA208">
        <v>126</v>
      </c>
      <c r="AB208">
        <v>134.5</v>
      </c>
      <c r="AC208">
        <v>146.19999999999999</v>
      </c>
      <c r="AD208">
        <v>130.9</v>
      </c>
      <c r="AE208">
        <v>134.69999999999999</v>
      </c>
      <c r="AF208">
        <v>140.19999999999999</v>
      </c>
      <c r="AG208" s="2">
        <f>AVERAGE(All_India_Index_Upto_April23[[#This Row],[Food]:[General index]])</f>
        <v>203.17499999999998</v>
      </c>
      <c r="AH208" s="7">
        <f>DATE(All_India_Index_Upto_April23[[#This Row],[Year]],MONTH(1&amp;TRIM(All_India_Index_Upto_April23[[#This Row],[Month]])),1)</f>
        <v>43344</v>
      </c>
    </row>
    <row r="209" spans="1:34" x14ac:dyDescent="0.3">
      <c r="A209">
        <v>208</v>
      </c>
      <c r="B209" s="1" t="s">
        <v>18</v>
      </c>
      <c r="C209">
        <v>2018</v>
      </c>
      <c r="D209" s="1" t="s">
        <v>43</v>
      </c>
      <c r="E209" s="2">
        <v>1941.8</v>
      </c>
      <c r="F209">
        <v>139.30000000000001</v>
      </c>
      <c r="G209">
        <v>147.6</v>
      </c>
      <c r="H209">
        <v>134.6</v>
      </c>
      <c r="I209">
        <v>141.9</v>
      </c>
      <c r="J209">
        <v>123.5</v>
      </c>
      <c r="K209">
        <v>144.5</v>
      </c>
      <c r="L209">
        <v>147.6</v>
      </c>
      <c r="M209">
        <v>121.4</v>
      </c>
      <c r="N209">
        <v>112.3</v>
      </c>
      <c r="O209">
        <v>139.5</v>
      </c>
      <c r="P209">
        <v>134.6</v>
      </c>
      <c r="Q209">
        <v>155.19999999999999</v>
      </c>
      <c r="R209">
        <v>140.19999999999999</v>
      </c>
      <c r="S209">
        <v>159.6</v>
      </c>
      <c r="T209">
        <v>150.69999999999999</v>
      </c>
      <c r="U209">
        <v>144.5</v>
      </c>
      <c r="V209">
        <v>149.80000000000001</v>
      </c>
      <c r="W209" s="1">
        <v>139.12</v>
      </c>
      <c r="X209">
        <v>149.69999999999999</v>
      </c>
      <c r="Y209">
        <v>147.5</v>
      </c>
      <c r="Z209">
        <v>144.80000000000001</v>
      </c>
      <c r="AA209">
        <v>130.80000000000001</v>
      </c>
      <c r="AB209">
        <v>140.1</v>
      </c>
      <c r="AC209">
        <v>148</v>
      </c>
      <c r="AD209">
        <v>134.4</v>
      </c>
      <c r="AE209">
        <v>139.80000000000001</v>
      </c>
      <c r="AF209">
        <v>142.19999999999999</v>
      </c>
      <c r="AG209" s="2">
        <f>AVERAGE(All_India_Index_Upto_April23[[#This Row],[Food]:[General index]])</f>
        <v>205.1792857142857</v>
      </c>
      <c r="AH209" s="7">
        <f>DATE(All_India_Index_Upto_April23[[#This Row],[Year]],MONTH(1&amp;TRIM(All_India_Index_Upto_April23[[#This Row],[Month]])),1)</f>
        <v>43374</v>
      </c>
    </row>
    <row r="210" spans="1:34" x14ac:dyDescent="0.3">
      <c r="A210">
        <v>209</v>
      </c>
      <c r="B210" s="1" t="s">
        <v>33</v>
      </c>
      <c r="C210">
        <v>2018</v>
      </c>
      <c r="D210" s="1" t="s">
        <v>43</v>
      </c>
      <c r="E210" s="2">
        <v>1918.1</v>
      </c>
      <c r="F210">
        <v>137.6</v>
      </c>
      <c r="G210">
        <v>144.9</v>
      </c>
      <c r="H210">
        <v>133.5</v>
      </c>
      <c r="I210">
        <v>141.5</v>
      </c>
      <c r="J210">
        <v>118</v>
      </c>
      <c r="K210">
        <v>139.5</v>
      </c>
      <c r="L210">
        <v>153</v>
      </c>
      <c r="M210">
        <v>113.2</v>
      </c>
      <c r="N210">
        <v>112.8</v>
      </c>
      <c r="O210">
        <v>141.1</v>
      </c>
      <c r="P210">
        <v>127.6</v>
      </c>
      <c r="Q210">
        <v>152</v>
      </c>
      <c r="R210">
        <v>139.4</v>
      </c>
      <c r="S210">
        <v>164</v>
      </c>
      <c r="T210">
        <v>141.5</v>
      </c>
      <c r="U210">
        <v>129.80000000000001</v>
      </c>
      <c r="V210">
        <v>139.69999999999999</v>
      </c>
      <c r="W210" s="1">
        <v>146.30000000000001</v>
      </c>
      <c r="X210">
        <v>133.4</v>
      </c>
      <c r="Y210">
        <v>135.1</v>
      </c>
      <c r="Z210">
        <v>136.19999999999999</v>
      </c>
      <c r="AA210">
        <v>123.3</v>
      </c>
      <c r="AB210">
        <v>130.69999999999999</v>
      </c>
      <c r="AC210">
        <v>145.5</v>
      </c>
      <c r="AD210">
        <v>130.4</v>
      </c>
      <c r="AE210">
        <v>132.5</v>
      </c>
      <c r="AF210">
        <v>138.9</v>
      </c>
      <c r="AG210" s="2">
        <f>AVERAGE(All_India_Index_Upto_April23[[#This Row],[Food]:[General index]])</f>
        <v>199.98214285714283</v>
      </c>
      <c r="AH210" s="7">
        <f>DATE(All_India_Index_Upto_April23[[#This Row],[Year]],MONTH(1&amp;TRIM(All_India_Index_Upto_April23[[#This Row],[Month]])),1)</f>
        <v>43374</v>
      </c>
    </row>
    <row r="211" spans="1:34" x14ac:dyDescent="0.3">
      <c r="A211">
        <v>210</v>
      </c>
      <c r="B211" s="1" t="s">
        <v>34</v>
      </c>
      <c r="C211">
        <v>2018</v>
      </c>
      <c r="D211" s="1" t="s">
        <v>43</v>
      </c>
      <c r="E211" s="2">
        <v>1938.8</v>
      </c>
      <c r="F211">
        <v>137.4</v>
      </c>
      <c r="G211">
        <v>149.5</v>
      </c>
      <c r="H211">
        <v>137.30000000000001</v>
      </c>
      <c r="I211">
        <v>141.9</v>
      </c>
      <c r="J211">
        <v>121.1</v>
      </c>
      <c r="K211">
        <v>142.5</v>
      </c>
      <c r="L211">
        <v>146.69999999999999</v>
      </c>
      <c r="M211">
        <v>119.1</v>
      </c>
      <c r="N211">
        <v>111.9</v>
      </c>
      <c r="O211">
        <v>141</v>
      </c>
      <c r="P211">
        <v>133.6</v>
      </c>
      <c r="Q211">
        <v>154.5</v>
      </c>
      <c r="R211">
        <v>139.69999999999999</v>
      </c>
      <c r="S211">
        <v>162.6</v>
      </c>
      <c r="T211">
        <v>148</v>
      </c>
      <c r="U211">
        <v>139.19999999999999</v>
      </c>
      <c r="V211">
        <v>146.80000000000001</v>
      </c>
      <c r="W211" s="1">
        <v>146.9</v>
      </c>
      <c r="X211">
        <v>145.30000000000001</v>
      </c>
      <c r="Y211">
        <v>142.19999999999999</v>
      </c>
      <c r="Z211">
        <v>142.1</v>
      </c>
      <c r="AA211">
        <v>125.5</v>
      </c>
      <c r="AB211">
        <v>136.5</v>
      </c>
      <c r="AC211">
        <v>147.80000000000001</v>
      </c>
      <c r="AD211">
        <v>132</v>
      </c>
      <c r="AE211">
        <v>136.30000000000001</v>
      </c>
      <c r="AF211">
        <v>140.80000000000001</v>
      </c>
      <c r="AG211" s="2">
        <f>AVERAGE(All_India_Index_Upto_April23[[#This Row],[Food]:[General index]])</f>
        <v>203.82142857142858</v>
      </c>
      <c r="AH211" s="7">
        <f>DATE(All_India_Index_Upto_April23[[#This Row],[Year]],MONTH(1&amp;TRIM(All_India_Index_Upto_April23[[#This Row],[Month]])),1)</f>
        <v>43374</v>
      </c>
    </row>
    <row r="212" spans="1:34" x14ac:dyDescent="0.3">
      <c r="A212">
        <v>211</v>
      </c>
      <c r="B212" s="1" t="s">
        <v>18</v>
      </c>
      <c r="C212">
        <v>2018</v>
      </c>
      <c r="D212" s="1" t="s">
        <v>45</v>
      </c>
      <c r="E212" s="2">
        <v>1949.3999999999996</v>
      </c>
      <c r="F212">
        <v>137.1</v>
      </c>
      <c r="G212">
        <v>150.80000000000001</v>
      </c>
      <c r="H212">
        <v>136.69999999999999</v>
      </c>
      <c r="I212">
        <v>141.9</v>
      </c>
      <c r="J212">
        <v>122.8</v>
      </c>
      <c r="K212">
        <v>143.9</v>
      </c>
      <c r="L212">
        <v>147.5</v>
      </c>
      <c r="M212">
        <v>121</v>
      </c>
      <c r="N212">
        <v>111.6</v>
      </c>
      <c r="O212">
        <v>140.6</v>
      </c>
      <c r="P212">
        <v>137.5</v>
      </c>
      <c r="Q212">
        <v>156.1</v>
      </c>
      <c r="R212">
        <v>140</v>
      </c>
      <c r="S212">
        <v>161.9</v>
      </c>
      <c r="T212">
        <v>151.69999999999999</v>
      </c>
      <c r="U212">
        <v>145.5</v>
      </c>
      <c r="V212">
        <v>150.80000000000001</v>
      </c>
      <c r="W212" s="1">
        <v>139.12</v>
      </c>
      <c r="X212">
        <v>150.30000000000001</v>
      </c>
      <c r="Y212">
        <v>148</v>
      </c>
      <c r="Z212">
        <v>145.4</v>
      </c>
      <c r="AA212">
        <v>130.30000000000001</v>
      </c>
      <c r="AB212">
        <v>143.1</v>
      </c>
      <c r="AC212">
        <v>150.19999999999999</v>
      </c>
      <c r="AD212">
        <v>133.1</v>
      </c>
      <c r="AE212">
        <v>140.1</v>
      </c>
      <c r="AF212">
        <v>142.4</v>
      </c>
      <c r="AG212" s="2">
        <f>AVERAGE(All_India_Index_Upto_April23[[#This Row],[Food]:[General index]])</f>
        <v>206.02928571428575</v>
      </c>
      <c r="AH212" s="7">
        <f>DATE(All_India_Index_Upto_April23[[#This Row],[Year]],MONTH(1&amp;TRIM(All_India_Index_Upto_April23[[#This Row],[Month]])),1)</f>
        <v>43405</v>
      </c>
    </row>
    <row r="213" spans="1:34" x14ac:dyDescent="0.3">
      <c r="A213">
        <v>212</v>
      </c>
      <c r="B213" s="1" t="s">
        <v>33</v>
      </c>
      <c r="C213">
        <v>2018</v>
      </c>
      <c r="D213" s="1" t="s">
        <v>45</v>
      </c>
      <c r="E213" s="2">
        <v>1921.8999999999999</v>
      </c>
      <c r="F213">
        <v>138.1</v>
      </c>
      <c r="G213">
        <v>146.30000000000001</v>
      </c>
      <c r="H213">
        <v>137.80000000000001</v>
      </c>
      <c r="I213">
        <v>141.6</v>
      </c>
      <c r="J213">
        <v>118.1</v>
      </c>
      <c r="K213">
        <v>141.5</v>
      </c>
      <c r="L213">
        <v>145.19999999999999</v>
      </c>
      <c r="M213">
        <v>115.3</v>
      </c>
      <c r="N213">
        <v>112.5</v>
      </c>
      <c r="O213">
        <v>141.4</v>
      </c>
      <c r="P213">
        <v>128</v>
      </c>
      <c r="Q213">
        <v>152.6</v>
      </c>
      <c r="R213">
        <v>139.1</v>
      </c>
      <c r="S213">
        <v>164.4</v>
      </c>
      <c r="T213">
        <v>142.4</v>
      </c>
      <c r="U213">
        <v>130.19999999999999</v>
      </c>
      <c r="V213">
        <v>140.5</v>
      </c>
      <c r="W213" s="1">
        <v>146.9</v>
      </c>
      <c r="X213">
        <v>136.69999999999999</v>
      </c>
      <c r="Y213">
        <v>135.80000000000001</v>
      </c>
      <c r="Z213">
        <v>136.80000000000001</v>
      </c>
      <c r="AA213">
        <v>121.2</v>
      </c>
      <c r="AB213">
        <v>131.30000000000001</v>
      </c>
      <c r="AC213">
        <v>146.1</v>
      </c>
      <c r="AD213">
        <v>130.5</v>
      </c>
      <c r="AE213">
        <v>132.19999999999999</v>
      </c>
      <c r="AF213">
        <v>139</v>
      </c>
      <c r="AG213" s="2">
        <f>AVERAGE(All_India_Index_Upto_April23[[#This Row],[Food]:[General index]])</f>
        <v>200.47857142857146</v>
      </c>
      <c r="AH213" s="7">
        <f>DATE(All_India_Index_Upto_April23[[#This Row],[Year]],MONTH(1&amp;TRIM(All_India_Index_Upto_April23[[#This Row],[Month]])),1)</f>
        <v>43405</v>
      </c>
    </row>
    <row r="214" spans="1:34" x14ac:dyDescent="0.3">
      <c r="A214">
        <v>213</v>
      </c>
      <c r="B214" s="1" t="s">
        <v>34</v>
      </c>
      <c r="C214">
        <v>2018</v>
      </c>
      <c r="D214" s="1" t="s">
        <v>45</v>
      </c>
      <c r="E214" s="2">
        <v>1938.3000000000002</v>
      </c>
      <c r="F214">
        <v>137.4</v>
      </c>
      <c r="G214">
        <v>149.19999999999999</v>
      </c>
      <c r="H214">
        <v>137.1</v>
      </c>
      <c r="I214">
        <v>141.80000000000001</v>
      </c>
      <c r="J214">
        <v>121.1</v>
      </c>
      <c r="K214">
        <v>142.80000000000001</v>
      </c>
      <c r="L214">
        <v>146.69999999999999</v>
      </c>
      <c r="M214">
        <v>119.1</v>
      </c>
      <c r="N214">
        <v>111.9</v>
      </c>
      <c r="O214">
        <v>140.9</v>
      </c>
      <c r="P214">
        <v>133.5</v>
      </c>
      <c r="Q214">
        <v>154.5</v>
      </c>
      <c r="R214">
        <v>139.69999999999999</v>
      </c>
      <c r="S214">
        <v>162.6</v>
      </c>
      <c r="T214">
        <v>148</v>
      </c>
      <c r="U214">
        <v>139.1</v>
      </c>
      <c r="V214">
        <v>146.69999999999999</v>
      </c>
      <c r="W214" s="1">
        <v>146.9</v>
      </c>
      <c r="X214">
        <v>145.1</v>
      </c>
      <c r="Y214">
        <v>142.19999999999999</v>
      </c>
      <c r="Z214">
        <v>142.1</v>
      </c>
      <c r="AA214">
        <v>125.5</v>
      </c>
      <c r="AB214">
        <v>136.5</v>
      </c>
      <c r="AC214">
        <v>147.80000000000001</v>
      </c>
      <c r="AD214">
        <v>132</v>
      </c>
      <c r="AE214">
        <v>136.30000000000001</v>
      </c>
      <c r="AF214">
        <v>140.80000000000001</v>
      </c>
      <c r="AG214" s="2">
        <f>AVERAGE(All_India_Index_Upto_April23[[#This Row],[Food]:[General index]])</f>
        <v>203.77142857142857</v>
      </c>
      <c r="AH214" s="7">
        <f>DATE(All_India_Index_Upto_April23[[#This Row],[Year]],MONTH(1&amp;TRIM(All_India_Index_Upto_April23[[#This Row],[Month]])),1)</f>
        <v>43405</v>
      </c>
    </row>
    <row r="215" spans="1:34" x14ac:dyDescent="0.3">
      <c r="A215">
        <v>214</v>
      </c>
      <c r="B215" s="1" t="s">
        <v>18</v>
      </c>
      <c r="C215">
        <v>2018</v>
      </c>
      <c r="D215" s="1" t="s">
        <v>46</v>
      </c>
      <c r="E215" s="2">
        <v>1935.5000000000002</v>
      </c>
      <c r="F215">
        <v>137.1</v>
      </c>
      <c r="G215">
        <v>151.9</v>
      </c>
      <c r="H215">
        <v>137.4</v>
      </c>
      <c r="I215">
        <v>142.4</v>
      </c>
      <c r="J215">
        <v>124.2</v>
      </c>
      <c r="K215">
        <v>140.19999999999999</v>
      </c>
      <c r="L215">
        <v>136.6</v>
      </c>
      <c r="M215">
        <v>120.9</v>
      </c>
      <c r="N215">
        <v>109.9</v>
      </c>
      <c r="O215">
        <v>140.19999999999999</v>
      </c>
      <c r="P215">
        <v>137.80000000000001</v>
      </c>
      <c r="Q215">
        <v>156</v>
      </c>
      <c r="R215">
        <v>138.5</v>
      </c>
      <c r="S215">
        <v>162.4</v>
      </c>
      <c r="T215">
        <v>151.6</v>
      </c>
      <c r="U215">
        <v>145.9</v>
      </c>
      <c r="V215">
        <v>150.80000000000001</v>
      </c>
      <c r="W215" s="1">
        <v>139.12</v>
      </c>
      <c r="X215">
        <v>149</v>
      </c>
      <c r="Y215">
        <v>149.5</v>
      </c>
      <c r="Z215">
        <v>149.6</v>
      </c>
      <c r="AA215">
        <v>128.9</v>
      </c>
      <c r="AB215">
        <v>143.30000000000001</v>
      </c>
      <c r="AC215">
        <v>155.1</v>
      </c>
      <c r="AD215">
        <v>133.19999999999999</v>
      </c>
      <c r="AE215">
        <v>141.6</v>
      </c>
      <c r="AF215">
        <v>141.9</v>
      </c>
      <c r="AG215" s="2">
        <f>AVERAGE(All_India_Index_Upto_April23[[#This Row],[Food]:[General index]])</f>
        <v>205.37571428571431</v>
      </c>
      <c r="AH215" s="7">
        <f>DATE(All_India_Index_Upto_April23[[#This Row],[Year]],MONTH(1&amp;TRIM(All_India_Index_Upto_April23[[#This Row],[Month]])),1)</f>
        <v>43435</v>
      </c>
    </row>
    <row r="216" spans="1:34" x14ac:dyDescent="0.3">
      <c r="A216">
        <v>215</v>
      </c>
      <c r="B216" s="1" t="s">
        <v>33</v>
      </c>
      <c r="C216">
        <v>2018</v>
      </c>
      <c r="D216" s="1" t="s">
        <v>46</v>
      </c>
      <c r="E216" s="2">
        <v>1911.1999999999998</v>
      </c>
      <c r="F216">
        <v>138.5</v>
      </c>
      <c r="G216">
        <v>147.80000000000001</v>
      </c>
      <c r="H216">
        <v>141.1</v>
      </c>
      <c r="I216">
        <v>141.6</v>
      </c>
      <c r="J216">
        <v>118.1</v>
      </c>
      <c r="K216">
        <v>138.5</v>
      </c>
      <c r="L216">
        <v>132.4</v>
      </c>
      <c r="M216">
        <v>117.5</v>
      </c>
      <c r="N216">
        <v>111</v>
      </c>
      <c r="O216">
        <v>141.5</v>
      </c>
      <c r="P216">
        <v>128.1</v>
      </c>
      <c r="Q216">
        <v>152.9</v>
      </c>
      <c r="R216">
        <v>137.6</v>
      </c>
      <c r="S216">
        <v>164.6</v>
      </c>
      <c r="T216">
        <v>142.69999999999999</v>
      </c>
      <c r="U216">
        <v>130.30000000000001</v>
      </c>
      <c r="V216">
        <v>140.80000000000001</v>
      </c>
      <c r="W216" s="1">
        <v>146.5</v>
      </c>
      <c r="X216">
        <v>132.4</v>
      </c>
      <c r="Y216">
        <v>136.19999999999999</v>
      </c>
      <c r="Z216">
        <v>137.30000000000001</v>
      </c>
      <c r="AA216">
        <v>118.8</v>
      </c>
      <c r="AB216">
        <v>131.69999999999999</v>
      </c>
      <c r="AC216">
        <v>146.5</v>
      </c>
      <c r="AD216">
        <v>130.80000000000001</v>
      </c>
      <c r="AE216">
        <v>131.69999999999999</v>
      </c>
      <c r="AF216">
        <v>138</v>
      </c>
      <c r="AG216" s="2">
        <f>AVERAGE(All_India_Index_Upto_April23[[#This Row],[Food]:[General index]])</f>
        <v>199.50357142857141</v>
      </c>
      <c r="AH216" s="7">
        <f>DATE(All_India_Index_Upto_April23[[#This Row],[Year]],MONTH(1&amp;TRIM(All_India_Index_Upto_April23[[#This Row],[Month]])),1)</f>
        <v>43435</v>
      </c>
    </row>
    <row r="217" spans="1:34" x14ac:dyDescent="0.3">
      <c r="A217">
        <v>216</v>
      </c>
      <c r="B217" s="1" t="s">
        <v>34</v>
      </c>
      <c r="C217">
        <v>2018</v>
      </c>
      <c r="D217" s="1" t="s">
        <v>46</v>
      </c>
      <c r="E217" s="2">
        <v>1925.7999999999997</v>
      </c>
      <c r="F217">
        <v>137.5</v>
      </c>
      <c r="G217">
        <v>150.5</v>
      </c>
      <c r="H217">
        <v>138.80000000000001</v>
      </c>
      <c r="I217">
        <v>142.1</v>
      </c>
      <c r="J217">
        <v>122</v>
      </c>
      <c r="K217">
        <v>139.4</v>
      </c>
      <c r="L217">
        <v>135.19999999999999</v>
      </c>
      <c r="M217">
        <v>119.8</v>
      </c>
      <c r="N217">
        <v>110.3</v>
      </c>
      <c r="O217">
        <v>140.6</v>
      </c>
      <c r="P217">
        <v>133.80000000000001</v>
      </c>
      <c r="Q217">
        <v>154.6</v>
      </c>
      <c r="R217">
        <v>138.19999999999999</v>
      </c>
      <c r="S217">
        <v>163</v>
      </c>
      <c r="T217">
        <v>148.1</v>
      </c>
      <c r="U217">
        <v>139.4</v>
      </c>
      <c r="V217">
        <v>146.80000000000001</v>
      </c>
      <c r="W217" s="1">
        <v>146.5</v>
      </c>
      <c r="X217">
        <v>142.69999999999999</v>
      </c>
      <c r="Y217">
        <v>143.19999999999999</v>
      </c>
      <c r="Z217">
        <v>144.9</v>
      </c>
      <c r="AA217">
        <v>123.6</v>
      </c>
      <c r="AB217">
        <v>136.80000000000001</v>
      </c>
      <c r="AC217">
        <v>150.1</v>
      </c>
      <c r="AD217">
        <v>132.19999999999999</v>
      </c>
      <c r="AE217">
        <v>136.80000000000001</v>
      </c>
      <c r="AF217">
        <v>140.1</v>
      </c>
      <c r="AG217" s="2">
        <f>AVERAGE(All_India_Index_Upto_April23[[#This Row],[Food]:[General index]])</f>
        <v>202.95714285714286</v>
      </c>
      <c r="AH217" s="7">
        <f>DATE(All_India_Index_Upto_April23[[#This Row],[Year]],MONTH(1&amp;TRIM(All_India_Index_Upto_April23[[#This Row],[Month]])),1)</f>
        <v>43435</v>
      </c>
    </row>
    <row r="218" spans="1:34" x14ac:dyDescent="0.3">
      <c r="A218">
        <v>217</v>
      </c>
      <c r="B218" s="1" t="s">
        <v>18</v>
      </c>
      <c r="C218">
        <v>2019</v>
      </c>
      <c r="D218" s="1" t="s">
        <v>19</v>
      </c>
      <c r="E218" s="2">
        <v>1922.3000000000002</v>
      </c>
      <c r="F218">
        <v>136.6</v>
      </c>
      <c r="G218">
        <v>152.5</v>
      </c>
      <c r="H218">
        <v>138.19999999999999</v>
      </c>
      <c r="I218">
        <v>142.4</v>
      </c>
      <c r="J218">
        <v>123.9</v>
      </c>
      <c r="K218">
        <v>135.5</v>
      </c>
      <c r="L218">
        <v>131.69999999999999</v>
      </c>
      <c r="M218">
        <v>121.3</v>
      </c>
      <c r="N218">
        <v>108.4</v>
      </c>
      <c r="O218">
        <v>138.9</v>
      </c>
      <c r="P218">
        <v>137</v>
      </c>
      <c r="Q218">
        <v>155.80000000000001</v>
      </c>
      <c r="R218">
        <v>137.4</v>
      </c>
      <c r="S218">
        <v>162.69999999999999</v>
      </c>
      <c r="T218">
        <v>150.6</v>
      </c>
      <c r="U218">
        <v>145.1</v>
      </c>
      <c r="V218">
        <v>149.9</v>
      </c>
      <c r="W218" s="1">
        <v>139.12</v>
      </c>
      <c r="X218">
        <v>146.19999999999999</v>
      </c>
      <c r="Y218">
        <v>150.1</v>
      </c>
      <c r="Z218">
        <v>149.6</v>
      </c>
      <c r="AA218">
        <v>128.6</v>
      </c>
      <c r="AB218">
        <v>142.9</v>
      </c>
      <c r="AC218">
        <v>155.19999999999999</v>
      </c>
      <c r="AD218">
        <v>133.5</v>
      </c>
      <c r="AE218">
        <v>141.69999999999999</v>
      </c>
      <c r="AF218">
        <v>141</v>
      </c>
      <c r="AG218" s="2">
        <f>AVERAGE(All_India_Index_Upto_April23[[#This Row],[Food]:[General index]])</f>
        <v>204.21857142857144</v>
      </c>
      <c r="AH218" s="7">
        <f>DATE(All_India_Index_Upto_April23[[#This Row],[Year]],MONTH(1&amp;TRIM(All_India_Index_Upto_April23[[#This Row],[Month]])),1)</f>
        <v>43466</v>
      </c>
    </row>
    <row r="219" spans="1:34" x14ac:dyDescent="0.3">
      <c r="A219">
        <v>218</v>
      </c>
      <c r="B219" s="1" t="s">
        <v>33</v>
      </c>
      <c r="C219">
        <v>2019</v>
      </c>
      <c r="D219" s="1" t="s">
        <v>19</v>
      </c>
      <c r="E219" s="2">
        <v>1909.0000000000002</v>
      </c>
      <c r="F219">
        <v>138.30000000000001</v>
      </c>
      <c r="G219">
        <v>149.4</v>
      </c>
      <c r="H219">
        <v>143.5</v>
      </c>
      <c r="I219">
        <v>141.69999999999999</v>
      </c>
      <c r="J219">
        <v>118.1</v>
      </c>
      <c r="K219">
        <v>135.19999999999999</v>
      </c>
      <c r="L219">
        <v>130.5</v>
      </c>
      <c r="M219">
        <v>118.2</v>
      </c>
      <c r="N219">
        <v>110.4</v>
      </c>
      <c r="O219">
        <v>140.4</v>
      </c>
      <c r="P219">
        <v>128.1</v>
      </c>
      <c r="Q219">
        <v>153.19999999999999</v>
      </c>
      <c r="R219">
        <v>137.30000000000001</v>
      </c>
      <c r="S219">
        <v>164.7</v>
      </c>
      <c r="T219">
        <v>143</v>
      </c>
      <c r="U219">
        <v>130.4</v>
      </c>
      <c r="V219">
        <v>141.1</v>
      </c>
      <c r="W219" s="1">
        <v>147.69999999999999</v>
      </c>
      <c r="X219">
        <v>128.6</v>
      </c>
      <c r="Y219">
        <v>136.30000000000001</v>
      </c>
      <c r="Z219">
        <v>137.80000000000001</v>
      </c>
      <c r="AA219">
        <v>118.6</v>
      </c>
      <c r="AB219">
        <v>131.9</v>
      </c>
      <c r="AC219">
        <v>146.6</v>
      </c>
      <c r="AD219">
        <v>131.69999999999999</v>
      </c>
      <c r="AE219">
        <v>131.80000000000001</v>
      </c>
      <c r="AF219">
        <v>138</v>
      </c>
      <c r="AG219" s="2">
        <f>AVERAGE(All_India_Index_Upto_April23[[#This Row],[Food]:[General index]])</f>
        <v>199.33928571428575</v>
      </c>
      <c r="AH219" s="7">
        <f>DATE(All_India_Index_Upto_April23[[#This Row],[Year]],MONTH(1&amp;TRIM(All_India_Index_Upto_April23[[#This Row],[Month]])),1)</f>
        <v>43466</v>
      </c>
    </row>
    <row r="220" spans="1:34" x14ac:dyDescent="0.3">
      <c r="A220">
        <v>219</v>
      </c>
      <c r="B220" s="1" t="s">
        <v>34</v>
      </c>
      <c r="C220">
        <v>2019</v>
      </c>
      <c r="D220" s="1" t="s">
        <v>19</v>
      </c>
      <c r="E220" s="2">
        <v>1916.6</v>
      </c>
      <c r="F220">
        <v>137.1</v>
      </c>
      <c r="G220">
        <v>151.4</v>
      </c>
      <c r="H220">
        <v>140.19999999999999</v>
      </c>
      <c r="I220">
        <v>142.1</v>
      </c>
      <c r="J220">
        <v>121.8</v>
      </c>
      <c r="K220">
        <v>135.4</v>
      </c>
      <c r="L220">
        <v>131.30000000000001</v>
      </c>
      <c r="M220">
        <v>120.3</v>
      </c>
      <c r="N220">
        <v>109.1</v>
      </c>
      <c r="O220">
        <v>139.4</v>
      </c>
      <c r="P220">
        <v>133.30000000000001</v>
      </c>
      <c r="Q220">
        <v>154.6</v>
      </c>
      <c r="R220">
        <v>137.4</v>
      </c>
      <c r="S220">
        <v>163.19999999999999</v>
      </c>
      <c r="T220">
        <v>147.6</v>
      </c>
      <c r="U220">
        <v>139</v>
      </c>
      <c r="V220">
        <v>146.4</v>
      </c>
      <c r="W220" s="1">
        <v>147.69999999999999</v>
      </c>
      <c r="X220">
        <v>139.5</v>
      </c>
      <c r="Y220">
        <v>143.6</v>
      </c>
      <c r="Z220">
        <v>145.1</v>
      </c>
      <c r="AA220">
        <v>123.3</v>
      </c>
      <c r="AB220">
        <v>136.69999999999999</v>
      </c>
      <c r="AC220">
        <v>150.19999999999999</v>
      </c>
      <c r="AD220">
        <v>132.80000000000001</v>
      </c>
      <c r="AE220">
        <v>136.9</v>
      </c>
      <c r="AF220">
        <v>139.6</v>
      </c>
      <c r="AG220" s="2">
        <f>AVERAGE(All_India_Index_Upto_April23[[#This Row],[Food]:[General index]])</f>
        <v>202.20000000000002</v>
      </c>
      <c r="AH220" s="7">
        <f>DATE(All_India_Index_Upto_April23[[#This Row],[Year]],MONTH(1&amp;TRIM(All_India_Index_Upto_April23[[#This Row],[Month]])),1)</f>
        <v>43466</v>
      </c>
    </row>
    <row r="221" spans="1:34" x14ac:dyDescent="0.3">
      <c r="A221">
        <v>220</v>
      </c>
      <c r="B221" s="1" t="s">
        <v>18</v>
      </c>
      <c r="C221">
        <v>2019</v>
      </c>
      <c r="D221" s="1" t="s">
        <v>35</v>
      </c>
      <c r="E221" s="2">
        <v>1922.6000000000001</v>
      </c>
      <c r="F221">
        <v>136.80000000000001</v>
      </c>
      <c r="G221">
        <v>153</v>
      </c>
      <c r="H221">
        <v>139.1</v>
      </c>
      <c r="I221">
        <v>142.5</v>
      </c>
      <c r="J221">
        <v>124.1</v>
      </c>
      <c r="K221">
        <v>135.80000000000001</v>
      </c>
      <c r="L221">
        <v>128.69999999999999</v>
      </c>
      <c r="M221">
        <v>121.5</v>
      </c>
      <c r="N221">
        <v>108.3</v>
      </c>
      <c r="O221">
        <v>139.19999999999999</v>
      </c>
      <c r="P221">
        <v>137.4</v>
      </c>
      <c r="Q221">
        <v>156.19999999999999</v>
      </c>
      <c r="R221">
        <v>137.19999999999999</v>
      </c>
      <c r="S221">
        <v>162.80000000000001</v>
      </c>
      <c r="T221">
        <v>150.5</v>
      </c>
      <c r="U221">
        <v>146.1</v>
      </c>
      <c r="V221">
        <v>149.9</v>
      </c>
      <c r="W221" s="1">
        <v>139.12</v>
      </c>
      <c r="X221">
        <v>145.30000000000001</v>
      </c>
      <c r="Y221">
        <v>150.1</v>
      </c>
      <c r="Z221">
        <v>149.9</v>
      </c>
      <c r="AA221">
        <v>129.19999999999999</v>
      </c>
      <c r="AB221">
        <v>143.4</v>
      </c>
      <c r="AC221">
        <v>155.5</v>
      </c>
      <c r="AD221">
        <v>134.9</v>
      </c>
      <c r="AE221">
        <v>142.19999999999999</v>
      </c>
      <c r="AF221">
        <v>141</v>
      </c>
      <c r="AG221" s="2">
        <f>AVERAGE(All_India_Index_Upto_April23[[#This Row],[Food]:[General index]])</f>
        <v>204.36857142857139</v>
      </c>
      <c r="AH221" s="7">
        <f>DATE(All_India_Index_Upto_April23[[#This Row],[Year]],MONTH(1&amp;TRIM(All_India_Index_Upto_April23[[#This Row],[Month]])),1)</f>
        <v>43497</v>
      </c>
    </row>
    <row r="222" spans="1:34" x14ac:dyDescent="0.3">
      <c r="A222">
        <v>221</v>
      </c>
      <c r="B222" s="1" t="s">
        <v>33</v>
      </c>
      <c r="C222">
        <v>2019</v>
      </c>
      <c r="D222" s="1" t="s">
        <v>35</v>
      </c>
      <c r="E222" s="2">
        <v>1919.3000000000002</v>
      </c>
      <c r="F222">
        <v>139.4</v>
      </c>
      <c r="G222">
        <v>150.1</v>
      </c>
      <c r="H222">
        <v>145.30000000000001</v>
      </c>
      <c r="I222">
        <v>141.69999999999999</v>
      </c>
      <c r="J222">
        <v>118.4</v>
      </c>
      <c r="K222">
        <v>137</v>
      </c>
      <c r="L222">
        <v>131.6</v>
      </c>
      <c r="M222">
        <v>119.9</v>
      </c>
      <c r="N222">
        <v>110.4</v>
      </c>
      <c r="O222">
        <v>140.80000000000001</v>
      </c>
      <c r="P222">
        <v>128.30000000000001</v>
      </c>
      <c r="Q222">
        <v>153.5</v>
      </c>
      <c r="R222">
        <v>138</v>
      </c>
      <c r="S222">
        <v>164.9</v>
      </c>
      <c r="T222">
        <v>143.30000000000001</v>
      </c>
      <c r="U222">
        <v>130.80000000000001</v>
      </c>
      <c r="V222">
        <v>141.4</v>
      </c>
      <c r="W222" s="1">
        <v>148.5</v>
      </c>
      <c r="X222">
        <v>127.1</v>
      </c>
      <c r="Y222">
        <v>136.6</v>
      </c>
      <c r="Z222">
        <v>138.5</v>
      </c>
      <c r="AA222">
        <v>119.2</v>
      </c>
      <c r="AB222">
        <v>132.19999999999999</v>
      </c>
      <c r="AC222">
        <v>146.6</v>
      </c>
      <c r="AD222">
        <v>133</v>
      </c>
      <c r="AE222">
        <v>132.4</v>
      </c>
      <c r="AF222">
        <v>138.6</v>
      </c>
      <c r="AG222" s="2">
        <f>AVERAGE(All_India_Index_Upto_April23[[#This Row],[Food]:[General index]])</f>
        <v>200.24285714285719</v>
      </c>
      <c r="AH222" s="7">
        <f>DATE(All_India_Index_Upto_April23[[#This Row],[Year]],MONTH(1&amp;TRIM(All_India_Index_Upto_April23[[#This Row],[Month]])),1)</f>
        <v>43497</v>
      </c>
    </row>
    <row r="223" spans="1:34" x14ac:dyDescent="0.3">
      <c r="A223">
        <v>222</v>
      </c>
      <c r="B223" s="1" t="s">
        <v>34</v>
      </c>
      <c r="C223">
        <v>2019</v>
      </c>
      <c r="D223" s="1" t="s">
        <v>35</v>
      </c>
      <c r="E223" s="2">
        <v>1920.5</v>
      </c>
      <c r="F223">
        <v>137.6</v>
      </c>
      <c r="G223">
        <v>152</v>
      </c>
      <c r="H223">
        <v>141.5</v>
      </c>
      <c r="I223">
        <v>142.19999999999999</v>
      </c>
      <c r="J223">
        <v>122</v>
      </c>
      <c r="K223">
        <v>136.4</v>
      </c>
      <c r="L223">
        <v>129.69999999999999</v>
      </c>
      <c r="M223">
        <v>121</v>
      </c>
      <c r="N223">
        <v>109</v>
      </c>
      <c r="O223">
        <v>139.69999999999999</v>
      </c>
      <c r="P223">
        <v>133.6</v>
      </c>
      <c r="Q223">
        <v>154.9</v>
      </c>
      <c r="R223">
        <v>137.5</v>
      </c>
      <c r="S223">
        <v>163.4</v>
      </c>
      <c r="T223">
        <v>147.69999999999999</v>
      </c>
      <c r="U223">
        <v>139.69999999999999</v>
      </c>
      <c r="V223">
        <v>146.5</v>
      </c>
      <c r="W223" s="1">
        <v>148.5</v>
      </c>
      <c r="X223">
        <v>138.4</v>
      </c>
      <c r="Y223">
        <v>143.69999999999999</v>
      </c>
      <c r="Z223">
        <v>145.6</v>
      </c>
      <c r="AA223">
        <v>123.9</v>
      </c>
      <c r="AB223">
        <v>137.1</v>
      </c>
      <c r="AC223">
        <v>150.30000000000001</v>
      </c>
      <c r="AD223">
        <v>134.1</v>
      </c>
      <c r="AE223">
        <v>137.4</v>
      </c>
      <c r="AF223">
        <v>139.9</v>
      </c>
      <c r="AG223" s="2">
        <f>AVERAGE(All_India_Index_Upto_April23[[#This Row],[Food]:[General index]])</f>
        <v>202.63571428571427</v>
      </c>
      <c r="AH223" s="7">
        <f>DATE(All_India_Index_Upto_April23[[#This Row],[Year]],MONTH(1&amp;TRIM(All_India_Index_Upto_April23[[#This Row],[Month]])),1)</f>
        <v>43497</v>
      </c>
    </row>
    <row r="224" spans="1:34" x14ac:dyDescent="0.3">
      <c r="A224">
        <v>223</v>
      </c>
      <c r="B224" s="1" t="s">
        <v>18</v>
      </c>
      <c r="C224">
        <v>2019</v>
      </c>
      <c r="D224" s="1" t="s">
        <v>36</v>
      </c>
      <c r="E224" s="2">
        <v>1924.1000000000004</v>
      </c>
      <c r="F224">
        <v>136.9</v>
      </c>
      <c r="G224">
        <v>154.1</v>
      </c>
      <c r="H224">
        <v>138.69999999999999</v>
      </c>
      <c r="I224">
        <v>142.5</v>
      </c>
      <c r="J224">
        <v>124.1</v>
      </c>
      <c r="K224">
        <v>136.1</v>
      </c>
      <c r="L224">
        <v>128.19999999999999</v>
      </c>
      <c r="M224">
        <v>122.3</v>
      </c>
      <c r="N224">
        <v>108.3</v>
      </c>
      <c r="O224">
        <v>138.9</v>
      </c>
      <c r="P224">
        <v>137.4</v>
      </c>
      <c r="Q224">
        <v>156.4</v>
      </c>
      <c r="R224">
        <v>137.30000000000001</v>
      </c>
      <c r="S224">
        <v>162.9</v>
      </c>
      <c r="T224">
        <v>150.80000000000001</v>
      </c>
      <c r="U224">
        <v>146.1</v>
      </c>
      <c r="V224">
        <v>150.1</v>
      </c>
      <c r="W224" s="1">
        <v>139.12</v>
      </c>
      <c r="X224">
        <v>146.4</v>
      </c>
      <c r="Y224">
        <v>150</v>
      </c>
      <c r="Z224">
        <v>150.4</v>
      </c>
      <c r="AA224">
        <v>129.9</v>
      </c>
      <c r="AB224">
        <v>143.80000000000001</v>
      </c>
      <c r="AC224">
        <v>155.5</v>
      </c>
      <c r="AD224">
        <v>134</v>
      </c>
      <c r="AE224">
        <v>142.4</v>
      </c>
      <c r="AF224">
        <v>141.19999999999999</v>
      </c>
      <c r="AG224" s="2">
        <f>AVERAGE(All_India_Index_Upto_April23[[#This Row],[Food]:[General index]])</f>
        <v>204.56857142857143</v>
      </c>
      <c r="AH224" s="7">
        <f>DATE(All_India_Index_Upto_April23[[#This Row],[Year]],MONTH(1&amp;TRIM(All_India_Index_Upto_April23[[#This Row],[Month]])),1)</f>
        <v>43525</v>
      </c>
    </row>
    <row r="225" spans="1:34" x14ac:dyDescent="0.3">
      <c r="A225">
        <v>224</v>
      </c>
      <c r="B225" s="1" t="s">
        <v>33</v>
      </c>
      <c r="C225">
        <v>2019</v>
      </c>
      <c r="D225" s="1" t="s">
        <v>36</v>
      </c>
      <c r="E225" s="2">
        <v>1933.7</v>
      </c>
      <c r="F225">
        <v>139.69999999999999</v>
      </c>
      <c r="G225">
        <v>151.1</v>
      </c>
      <c r="H225">
        <v>142.9</v>
      </c>
      <c r="I225">
        <v>141.9</v>
      </c>
      <c r="J225">
        <v>118.4</v>
      </c>
      <c r="K225">
        <v>139.4</v>
      </c>
      <c r="L225">
        <v>141.19999999999999</v>
      </c>
      <c r="M225">
        <v>120.7</v>
      </c>
      <c r="N225">
        <v>110.4</v>
      </c>
      <c r="O225">
        <v>140.69999999999999</v>
      </c>
      <c r="P225">
        <v>128.5</v>
      </c>
      <c r="Q225">
        <v>153.9</v>
      </c>
      <c r="R225">
        <v>139.6</v>
      </c>
      <c r="S225">
        <v>165.3</v>
      </c>
      <c r="T225">
        <v>143.5</v>
      </c>
      <c r="U225">
        <v>131.19999999999999</v>
      </c>
      <c r="V225">
        <v>141.6</v>
      </c>
      <c r="W225" s="1">
        <v>149</v>
      </c>
      <c r="X225">
        <v>128.80000000000001</v>
      </c>
      <c r="Y225">
        <v>136.80000000000001</v>
      </c>
      <c r="Z225">
        <v>139.19999999999999</v>
      </c>
      <c r="AA225">
        <v>119.9</v>
      </c>
      <c r="AB225">
        <v>133</v>
      </c>
      <c r="AC225">
        <v>146.69999999999999</v>
      </c>
      <c r="AD225">
        <v>132.5</v>
      </c>
      <c r="AE225">
        <v>132.80000000000001</v>
      </c>
      <c r="AF225">
        <v>139.5</v>
      </c>
      <c r="AG225" s="2">
        <f>AVERAGE(All_India_Index_Upto_April23[[#This Row],[Food]:[General index]])</f>
        <v>201.49642857142859</v>
      </c>
      <c r="AH225" s="7">
        <f>DATE(All_India_Index_Upto_April23[[#This Row],[Year]],MONTH(1&amp;TRIM(All_India_Index_Upto_April23[[#This Row],[Month]])),1)</f>
        <v>43525</v>
      </c>
    </row>
    <row r="226" spans="1:34" x14ac:dyDescent="0.3">
      <c r="A226">
        <v>225</v>
      </c>
      <c r="B226" s="1" t="s">
        <v>34</v>
      </c>
      <c r="C226">
        <v>2019</v>
      </c>
      <c r="D226" s="1" t="s">
        <v>36</v>
      </c>
      <c r="E226" s="2">
        <v>1926.4</v>
      </c>
      <c r="F226">
        <v>137.80000000000001</v>
      </c>
      <c r="G226">
        <v>153</v>
      </c>
      <c r="H226">
        <v>140.30000000000001</v>
      </c>
      <c r="I226">
        <v>142.30000000000001</v>
      </c>
      <c r="J226">
        <v>122</v>
      </c>
      <c r="K226">
        <v>137.6</v>
      </c>
      <c r="L226">
        <v>132.6</v>
      </c>
      <c r="M226">
        <v>121.8</v>
      </c>
      <c r="N226">
        <v>109</v>
      </c>
      <c r="O226">
        <v>139.5</v>
      </c>
      <c r="P226">
        <v>133.69999999999999</v>
      </c>
      <c r="Q226">
        <v>155.19999999999999</v>
      </c>
      <c r="R226">
        <v>138.1</v>
      </c>
      <c r="S226">
        <v>163.5</v>
      </c>
      <c r="T226">
        <v>147.9</v>
      </c>
      <c r="U226">
        <v>139.9</v>
      </c>
      <c r="V226">
        <v>146.69999999999999</v>
      </c>
      <c r="W226" s="1">
        <v>149</v>
      </c>
      <c r="X226">
        <v>139.69999999999999</v>
      </c>
      <c r="Y226">
        <v>143.80000000000001</v>
      </c>
      <c r="Z226">
        <v>146.19999999999999</v>
      </c>
      <c r="AA226">
        <v>124.6</v>
      </c>
      <c r="AB226">
        <v>137.69999999999999</v>
      </c>
      <c r="AC226">
        <v>150.30000000000001</v>
      </c>
      <c r="AD226">
        <v>133.4</v>
      </c>
      <c r="AE226">
        <v>137.69999999999999</v>
      </c>
      <c r="AF226">
        <v>140.4</v>
      </c>
      <c r="AG226" s="2">
        <f>AVERAGE(All_India_Index_Upto_April23[[#This Row],[Food]:[General index]])</f>
        <v>203.21785714285713</v>
      </c>
      <c r="AH226" s="7">
        <f>DATE(All_India_Index_Upto_April23[[#This Row],[Year]],MONTH(1&amp;TRIM(All_India_Index_Upto_April23[[#This Row],[Month]])),1)</f>
        <v>43525</v>
      </c>
    </row>
    <row r="227" spans="1:34" x14ac:dyDescent="0.3">
      <c r="A227">
        <v>226</v>
      </c>
      <c r="B227" s="1" t="s">
        <v>18</v>
      </c>
      <c r="C227">
        <v>2019</v>
      </c>
      <c r="D227" s="1" t="s">
        <v>38</v>
      </c>
      <c r="E227" s="2">
        <v>1945.4</v>
      </c>
      <c r="F227">
        <v>137.4</v>
      </c>
      <c r="G227">
        <v>159.5</v>
      </c>
      <c r="H227">
        <v>134.5</v>
      </c>
      <c r="I227">
        <v>142.6</v>
      </c>
      <c r="J227">
        <v>124</v>
      </c>
      <c r="K227">
        <v>143.69999999999999</v>
      </c>
      <c r="L227">
        <v>133.4</v>
      </c>
      <c r="M227">
        <v>125.1</v>
      </c>
      <c r="N227">
        <v>109.3</v>
      </c>
      <c r="O227">
        <v>139.30000000000001</v>
      </c>
      <c r="P227">
        <v>137.69999999999999</v>
      </c>
      <c r="Q227">
        <v>156.4</v>
      </c>
      <c r="R227">
        <v>139.19999999999999</v>
      </c>
      <c r="S227">
        <v>163.30000000000001</v>
      </c>
      <c r="T227">
        <v>151.30000000000001</v>
      </c>
      <c r="U227">
        <v>146.6</v>
      </c>
      <c r="V227">
        <v>150.69999999999999</v>
      </c>
      <c r="W227" s="1">
        <v>139.12</v>
      </c>
      <c r="X227">
        <v>146.9</v>
      </c>
      <c r="Y227">
        <v>149.5</v>
      </c>
      <c r="Z227">
        <v>151.30000000000001</v>
      </c>
      <c r="AA227">
        <v>130.19999999999999</v>
      </c>
      <c r="AB227">
        <v>145.9</v>
      </c>
      <c r="AC227">
        <v>156.69999999999999</v>
      </c>
      <c r="AD227">
        <v>133.9</v>
      </c>
      <c r="AE227">
        <v>142.9</v>
      </c>
      <c r="AF227">
        <v>142.4</v>
      </c>
      <c r="AG227" s="2">
        <f>AVERAGE(All_India_Index_Upto_April23[[#This Row],[Food]:[General index]])</f>
        <v>206.36499999999995</v>
      </c>
      <c r="AH227" s="7">
        <f>DATE(All_India_Index_Upto_April23[[#This Row],[Year]],MONTH(1&amp;TRIM(All_India_Index_Upto_April23[[#This Row],[Month]])),1)</f>
        <v>43586</v>
      </c>
    </row>
    <row r="228" spans="1:34" x14ac:dyDescent="0.3">
      <c r="A228">
        <v>227</v>
      </c>
      <c r="B228" s="1" t="s">
        <v>33</v>
      </c>
      <c r="C228">
        <v>2019</v>
      </c>
      <c r="D228" s="1" t="s">
        <v>38</v>
      </c>
      <c r="E228" s="2">
        <v>1977.7000000000003</v>
      </c>
      <c r="F228">
        <v>140.4</v>
      </c>
      <c r="G228">
        <v>156.69999999999999</v>
      </c>
      <c r="H228">
        <v>138.30000000000001</v>
      </c>
      <c r="I228">
        <v>142.4</v>
      </c>
      <c r="J228">
        <v>118.6</v>
      </c>
      <c r="K228">
        <v>149.69999999999999</v>
      </c>
      <c r="L228">
        <v>161.6</v>
      </c>
      <c r="M228">
        <v>124.4</v>
      </c>
      <c r="N228">
        <v>111.2</v>
      </c>
      <c r="O228">
        <v>141</v>
      </c>
      <c r="P228">
        <v>128.9</v>
      </c>
      <c r="Q228">
        <v>154.5</v>
      </c>
      <c r="R228">
        <v>143.80000000000001</v>
      </c>
      <c r="S228">
        <v>166.2</v>
      </c>
      <c r="T228">
        <v>144</v>
      </c>
      <c r="U228">
        <v>131.69999999999999</v>
      </c>
      <c r="V228">
        <v>142.19999999999999</v>
      </c>
      <c r="W228" s="1">
        <v>150.1</v>
      </c>
      <c r="X228">
        <v>129.4</v>
      </c>
      <c r="Y228">
        <v>137.19999999999999</v>
      </c>
      <c r="Z228">
        <v>139.80000000000001</v>
      </c>
      <c r="AA228">
        <v>120.1</v>
      </c>
      <c r="AB228">
        <v>134</v>
      </c>
      <c r="AC228">
        <v>148</v>
      </c>
      <c r="AD228">
        <v>132.6</v>
      </c>
      <c r="AE228">
        <v>133.30000000000001</v>
      </c>
      <c r="AF228">
        <v>141.5</v>
      </c>
      <c r="AG228" s="2">
        <f>AVERAGE(All_India_Index_Upto_April23[[#This Row],[Food]:[General index]])</f>
        <v>204.97499999999999</v>
      </c>
      <c r="AH228" s="7">
        <f>DATE(All_India_Index_Upto_April23[[#This Row],[Year]],MONTH(1&amp;TRIM(All_India_Index_Upto_April23[[#This Row],[Month]])),1)</f>
        <v>43586</v>
      </c>
    </row>
    <row r="229" spans="1:34" x14ac:dyDescent="0.3">
      <c r="A229">
        <v>228</v>
      </c>
      <c r="B229" s="1" t="s">
        <v>34</v>
      </c>
      <c r="C229">
        <v>2019</v>
      </c>
      <c r="D229" s="1" t="s">
        <v>38</v>
      </c>
      <c r="E229" s="2">
        <v>1956.0000000000002</v>
      </c>
      <c r="F229">
        <v>138.30000000000001</v>
      </c>
      <c r="G229">
        <v>158.5</v>
      </c>
      <c r="H229">
        <v>136</v>
      </c>
      <c r="I229">
        <v>142.5</v>
      </c>
      <c r="J229">
        <v>122</v>
      </c>
      <c r="K229">
        <v>146.5</v>
      </c>
      <c r="L229">
        <v>143</v>
      </c>
      <c r="M229">
        <v>124.9</v>
      </c>
      <c r="N229">
        <v>109.9</v>
      </c>
      <c r="O229">
        <v>139.9</v>
      </c>
      <c r="P229">
        <v>134</v>
      </c>
      <c r="Q229">
        <v>155.5</v>
      </c>
      <c r="R229">
        <v>140.9</v>
      </c>
      <c r="S229">
        <v>164.1</v>
      </c>
      <c r="T229">
        <v>148.4</v>
      </c>
      <c r="U229">
        <v>140.4</v>
      </c>
      <c r="V229">
        <v>147.30000000000001</v>
      </c>
      <c r="W229" s="1">
        <v>150.1</v>
      </c>
      <c r="X229">
        <v>140.30000000000001</v>
      </c>
      <c r="Y229">
        <v>143.69999999999999</v>
      </c>
      <c r="Z229">
        <v>146.9</v>
      </c>
      <c r="AA229">
        <v>124.9</v>
      </c>
      <c r="AB229">
        <v>139.19999999999999</v>
      </c>
      <c r="AC229">
        <v>151.6</v>
      </c>
      <c r="AD229">
        <v>133.4</v>
      </c>
      <c r="AE229">
        <v>138.19999999999999</v>
      </c>
      <c r="AF229">
        <v>142</v>
      </c>
      <c r="AG229" s="2">
        <f>AVERAGE(All_India_Index_Upto_April23[[#This Row],[Food]:[General index]])</f>
        <v>205.65714285714284</v>
      </c>
      <c r="AH229" s="7">
        <f>DATE(All_India_Index_Upto_April23[[#This Row],[Year]],MONTH(1&amp;TRIM(All_India_Index_Upto_April23[[#This Row],[Month]])),1)</f>
        <v>43586</v>
      </c>
    </row>
    <row r="230" spans="1:34" x14ac:dyDescent="0.3">
      <c r="A230">
        <v>229</v>
      </c>
      <c r="B230" s="1" t="s">
        <v>18</v>
      </c>
      <c r="C230">
        <v>2019</v>
      </c>
      <c r="D230" s="1" t="s">
        <v>39</v>
      </c>
      <c r="E230" s="2">
        <v>1968.3999999999999</v>
      </c>
      <c r="F230">
        <v>137.80000000000001</v>
      </c>
      <c r="G230">
        <v>163.5</v>
      </c>
      <c r="H230">
        <v>136.19999999999999</v>
      </c>
      <c r="I230">
        <v>143.19999999999999</v>
      </c>
      <c r="J230">
        <v>124.3</v>
      </c>
      <c r="K230">
        <v>143.30000000000001</v>
      </c>
      <c r="L230">
        <v>140.6</v>
      </c>
      <c r="M230">
        <v>128.69999999999999</v>
      </c>
      <c r="N230">
        <v>110.6</v>
      </c>
      <c r="O230">
        <v>140.4</v>
      </c>
      <c r="P230">
        <v>138</v>
      </c>
      <c r="Q230">
        <v>156.6</v>
      </c>
      <c r="R230">
        <v>141</v>
      </c>
      <c r="S230">
        <v>164.2</v>
      </c>
      <c r="T230">
        <v>151.4</v>
      </c>
      <c r="U230">
        <v>146.5</v>
      </c>
      <c r="V230">
        <v>150.69999999999999</v>
      </c>
      <c r="W230" s="1">
        <v>139.12</v>
      </c>
      <c r="X230">
        <v>147.80000000000001</v>
      </c>
      <c r="Y230">
        <v>149.6</v>
      </c>
      <c r="Z230">
        <v>151.69999999999999</v>
      </c>
      <c r="AA230">
        <v>130.19999999999999</v>
      </c>
      <c r="AB230">
        <v>146.4</v>
      </c>
      <c r="AC230">
        <v>157.69999999999999</v>
      </c>
      <c r="AD230">
        <v>134.80000000000001</v>
      </c>
      <c r="AE230">
        <v>143.30000000000001</v>
      </c>
      <c r="AF230">
        <v>143.6</v>
      </c>
      <c r="AG230" s="2">
        <f>AVERAGE(All_India_Index_Upto_April23[[#This Row],[Food]:[General index]])</f>
        <v>208.20071428571424</v>
      </c>
      <c r="AH230" s="7">
        <f>DATE(All_India_Index_Upto_April23[[#This Row],[Year]],MONTH(1&amp;TRIM(All_India_Index_Upto_April23[[#This Row],[Month]])),1)</f>
        <v>43617</v>
      </c>
    </row>
    <row r="231" spans="1:34" x14ac:dyDescent="0.3">
      <c r="A231">
        <v>230</v>
      </c>
      <c r="B231" s="1" t="s">
        <v>33</v>
      </c>
      <c r="C231">
        <v>2019</v>
      </c>
      <c r="D231" s="1" t="s">
        <v>39</v>
      </c>
      <c r="E231" s="2">
        <v>1999.9999999999998</v>
      </c>
      <c r="F231">
        <v>140.69999999999999</v>
      </c>
      <c r="G231">
        <v>159.6</v>
      </c>
      <c r="H231">
        <v>140.4</v>
      </c>
      <c r="I231">
        <v>143.4</v>
      </c>
      <c r="J231">
        <v>118.6</v>
      </c>
      <c r="K231">
        <v>150.9</v>
      </c>
      <c r="L231">
        <v>169.8</v>
      </c>
      <c r="M231">
        <v>127.4</v>
      </c>
      <c r="N231">
        <v>111.8</v>
      </c>
      <c r="O231">
        <v>141</v>
      </c>
      <c r="P231">
        <v>129</v>
      </c>
      <c r="Q231">
        <v>155.1</v>
      </c>
      <c r="R231">
        <v>145.6</v>
      </c>
      <c r="S231">
        <v>166.7</v>
      </c>
      <c r="T231">
        <v>144.30000000000001</v>
      </c>
      <c r="U231">
        <v>131.69999999999999</v>
      </c>
      <c r="V231">
        <v>142.4</v>
      </c>
      <c r="W231" s="1">
        <v>149.4</v>
      </c>
      <c r="X231">
        <v>130.5</v>
      </c>
      <c r="Y231">
        <v>137.4</v>
      </c>
      <c r="Z231">
        <v>140.30000000000001</v>
      </c>
      <c r="AA231">
        <v>119.6</v>
      </c>
      <c r="AB231">
        <v>134.30000000000001</v>
      </c>
      <c r="AC231">
        <v>148.9</v>
      </c>
      <c r="AD231">
        <v>133.69999999999999</v>
      </c>
      <c r="AE231">
        <v>133.6</v>
      </c>
      <c r="AF231">
        <v>142.1</v>
      </c>
      <c r="AG231" s="2">
        <f>AVERAGE(All_India_Index_Upto_April23[[#This Row],[Food]:[General index]])</f>
        <v>206.72142857142856</v>
      </c>
      <c r="AH231" s="7">
        <f>DATE(All_India_Index_Upto_April23[[#This Row],[Year]],MONTH(1&amp;TRIM(All_India_Index_Upto_April23[[#This Row],[Month]])),1)</f>
        <v>43617</v>
      </c>
    </row>
    <row r="232" spans="1:34" x14ac:dyDescent="0.3">
      <c r="A232">
        <v>231</v>
      </c>
      <c r="B232" s="1" t="s">
        <v>34</v>
      </c>
      <c r="C232">
        <v>2019</v>
      </c>
      <c r="D232" s="1" t="s">
        <v>39</v>
      </c>
      <c r="E232" s="2">
        <v>1979.0000000000002</v>
      </c>
      <c r="F232">
        <v>138.69999999999999</v>
      </c>
      <c r="G232">
        <v>162.1</v>
      </c>
      <c r="H232">
        <v>137.80000000000001</v>
      </c>
      <c r="I232">
        <v>143.30000000000001</v>
      </c>
      <c r="J232">
        <v>122.2</v>
      </c>
      <c r="K232">
        <v>146.80000000000001</v>
      </c>
      <c r="L232">
        <v>150.5</v>
      </c>
      <c r="M232">
        <v>128.30000000000001</v>
      </c>
      <c r="N232">
        <v>111</v>
      </c>
      <c r="O232">
        <v>140.6</v>
      </c>
      <c r="P232">
        <v>134.19999999999999</v>
      </c>
      <c r="Q232">
        <v>155.9</v>
      </c>
      <c r="R232">
        <v>142.69999999999999</v>
      </c>
      <c r="S232">
        <v>164.9</v>
      </c>
      <c r="T232">
        <v>148.6</v>
      </c>
      <c r="U232">
        <v>140.4</v>
      </c>
      <c r="V232">
        <v>147.4</v>
      </c>
      <c r="W232" s="1">
        <v>149.4</v>
      </c>
      <c r="X232">
        <v>141.19999999999999</v>
      </c>
      <c r="Y232">
        <v>143.80000000000001</v>
      </c>
      <c r="Z232">
        <v>147.4</v>
      </c>
      <c r="AA232">
        <v>124.6</v>
      </c>
      <c r="AB232">
        <v>139.6</v>
      </c>
      <c r="AC232">
        <v>152.5</v>
      </c>
      <c r="AD232">
        <v>134.30000000000001</v>
      </c>
      <c r="AE232">
        <v>138.6</v>
      </c>
      <c r="AF232">
        <v>142.9</v>
      </c>
      <c r="AG232" s="2">
        <f>AVERAGE(All_India_Index_Upto_April23[[#This Row],[Food]:[General index]])</f>
        <v>207.45357142857142</v>
      </c>
      <c r="AH232" s="7">
        <f>DATE(All_India_Index_Upto_April23[[#This Row],[Year]],MONTH(1&amp;TRIM(All_India_Index_Upto_April23[[#This Row],[Month]])),1)</f>
        <v>43617</v>
      </c>
    </row>
    <row r="233" spans="1:34" x14ac:dyDescent="0.3">
      <c r="A233">
        <v>232</v>
      </c>
      <c r="B233" s="1" t="s">
        <v>18</v>
      </c>
      <c r="C233">
        <v>2019</v>
      </c>
      <c r="D233" s="1" t="s">
        <v>40</v>
      </c>
      <c r="E233" s="2">
        <v>1991.3999999999999</v>
      </c>
      <c r="F233">
        <v>138.4</v>
      </c>
      <c r="G233">
        <v>164</v>
      </c>
      <c r="H233">
        <v>138.4</v>
      </c>
      <c r="I233">
        <v>143.9</v>
      </c>
      <c r="J233">
        <v>124.4</v>
      </c>
      <c r="K233">
        <v>146.4</v>
      </c>
      <c r="L233">
        <v>150.1</v>
      </c>
      <c r="M233">
        <v>130.6</v>
      </c>
      <c r="N233">
        <v>110.8</v>
      </c>
      <c r="O233">
        <v>141.69999999999999</v>
      </c>
      <c r="P233">
        <v>138.5</v>
      </c>
      <c r="Q233">
        <v>156.69999999999999</v>
      </c>
      <c r="R233">
        <v>143</v>
      </c>
      <c r="S233">
        <v>164.5</v>
      </c>
      <c r="T233">
        <v>151.6</v>
      </c>
      <c r="U233">
        <v>146.6</v>
      </c>
      <c r="V233">
        <v>150.9</v>
      </c>
      <c r="W233" s="1">
        <v>139.12</v>
      </c>
      <c r="X233">
        <v>146.80000000000001</v>
      </c>
      <c r="Y233">
        <v>150</v>
      </c>
      <c r="Z233">
        <v>152.19999999999999</v>
      </c>
      <c r="AA233">
        <v>131.19999999999999</v>
      </c>
      <c r="AB233">
        <v>147.5</v>
      </c>
      <c r="AC233">
        <v>159.1</v>
      </c>
      <c r="AD233">
        <v>136.1</v>
      </c>
      <c r="AE233">
        <v>144.19999999999999</v>
      </c>
      <c r="AF233">
        <v>144.9</v>
      </c>
      <c r="AG233" s="2">
        <f>AVERAGE(All_India_Index_Upto_April23[[#This Row],[Food]:[General index]])</f>
        <v>210.10785714285711</v>
      </c>
      <c r="AH233" s="7">
        <f>DATE(All_India_Index_Upto_April23[[#This Row],[Year]],MONTH(1&amp;TRIM(All_India_Index_Upto_April23[[#This Row],[Month]])),1)</f>
        <v>43647</v>
      </c>
    </row>
    <row r="234" spans="1:34" x14ac:dyDescent="0.3">
      <c r="A234">
        <v>233</v>
      </c>
      <c r="B234" s="1" t="s">
        <v>33</v>
      </c>
      <c r="C234">
        <v>2019</v>
      </c>
      <c r="D234" s="1" t="s">
        <v>40</v>
      </c>
      <c r="E234" s="2">
        <v>2024.6</v>
      </c>
      <c r="F234">
        <v>141.4</v>
      </c>
      <c r="G234">
        <v>160.19999999999999</v>
      </c>
      <c r="H234">
        <v>142.5</v>
      </c>
      <c r="I234">
        <v>144.1</v>
      </c>
      <c r="J234">
        <v>119.3</v>
      </c>
      <c r="K234">
        <v>154.69999999999999</v>
      </c>
      <c r="L234">
        <v>180.1</v>
      </c>
      <c r="M234">
        <v>128.9</v>
      </c>
      <c r="N234">
        <v>111.8</v>
      </c>
      <c r="O234">
        <v>141.6</v>
      </c>
      <c r="P234">
        <v>129.5</v>
      </c>
      <c r="Q234">
        <v>155.6</v>
      </c>
      <c r="R234">
        <v>147.69999999999999</v>
      </c>
      <c r="S234">
        <v>167.2</v>
      </c>
      <c r="T234">
        <v>144.69999999999999</v>
      </c>
      <c r="U234">
        <v>131.9</v>
      </c>
      <c r="V234">
        <v>142.69999999999999</v>
      </c>
      <c r="W234" s="1">
        <v>150.6</v>
      </c>
      <c r="X234">
        <v>127</v>
      </c>
      <c r="Y234">
        <v>137.69999999999999</v>
      </c>
      <c r="Z234">
        <v>140.80000000000001</v>
      </c>
      <c r="AA234">
        <v>120.6</v>
      </c>
      <c r="AB234">
        <v>135</v>
      </c>
      <c r="AC234">
        <v>150.4</v>
      </c>
      <c r="AD234">
        <v>135.1</v>
      </c>
      <c r="AE234">
        <v>134.5</v>
      </c>
      <c r="AF234">
        <v>143.30000000000001</v>
      </c>
      <c r="AG234" s="2">
        <f>AVERAGE(All_India_Index_Upto_April23[[#This Row],[Food]:[General index]])</f>
        <v>208.69642857142858</v>
      </c>
      <c r="AH234" s="7">
        <f>DATE(All_India_Index_Upto_April23[[#This Row],[Year]],MONTH(1&amp;TRIM(All_India_Index_Upto_April23[[#This Row],[Month]])),1)</f>
        <v>43647</v>
      </c>
    </row>
    <row r="235" spans="1:34" x14ac:dyDescent="0.3">
      <c r="A235">
        <v>234</v>
      </c>
      <c r="B235" s="1" t="s">
        <v>34</v>
      </c>
      <c r="C235">
        <v>2019</v>
      </c>
      <c r="D235" s="1" t="s">
        <v>40</v>
      </c>
      <c r="E235" s="2">
        <v>2002.7</v>
      </c>
      <c r="F235">
        <v>139.30000000000001</v>
      </c>
      <c r="G235">
        <v>162.69999999999999</v>
      </c>
      <c r="H235">
        <v>140</v>
      </c>
      <c r="I235">
        <v>144</v>
      </c>
      <c r="J235">
        <v>122.5</v>
      </c>
      <c r="K235">
        <v>150.30000000000001</v>
      </c>
      <c r="L235">
        <v>160.30000000000001</v>
      </c>
      <c r="M235">
        <v>130</v>
      </c>
      <c r="N235">
        <v>111.1</v>
      </c>
      <c r="O235">
        <v>141.69999999999999</v>
      </c>
      <c r="P235">
        <v>134.69999999999999</v>
      </c>
      <c r="Q235">
        <v>156.19999999999999</v>
      </c>
      <c r="R235">
        <v>144.69999999999999</v>
      </c>
      <c r="S235">
        <v>165.2</v>
      </c>
      <c r="T235">
        <v>148.9</v>
      </c>
      <c r="U235">
        <v>140.5</v>
      </c>
      <c r="V235">
        <v>147.6</v>
      </c>
      <c r="W235" s="1">
        <v>150.6</v>
      </c>
      <c r="X235">
        <v>139.30000000000001</v>
      </c>
      <c r="Y235">
        <v>144.19999999999999</v>
      </c>
      <c r="Z235">
        <v>147.9</v>
      </c>
      <c r="AA235">
        <v>125.6</v>
      </c>
      <c r="AB235">
        <v>140.5</v>
      </c>
      <c r="AC235">
        <v>154</v>
      </c>
      <c r="AD235">
        <v>135.69999999999999</v>
      </c>
      <c r="AE235">
        <v>139.5</v>
      </c>
      <c r="AF235">
        <v>144.19999999999999</v>
      </c>
      <c r="AG235" s="2">
        <f>AVERAGE(All_India_Index_Upto_April23[[#This Row],[Food]:[General index]])</f>
        <v>209.42499999999998</v>
      </c>
      <c r="AH235" s="7">
        <f>DATE(All_India_Index_Upto_April23[[#This Row],[Year]],MONTH(1&amp;TRIM(All_India_Index_Upto_April23[[#This Row],[Month]])),1)</f>
        <v>43647</v>
      </c>
    </row>
    <row r="236" spans="1:34" x14ac:dyDescent="0.3">
      <c r="A236">
        <v>235</v>
      </c>
      <c r="B236" s="1" t="s">
        <v>18</v>
      </c>
      <c r="C236">
        <v>2019</v>
      </c>
      <c r="D236" s="1" t="s">
        <v>41</v>
      </c>
      <c r="E236" s="2">
        <v>1999.6000000000001</v>
      </c>
      <c r="F236">
        <v>139.19999999999999</v>
      </c>
      <c r="G236">
        <v>161.9</v>
      </c>
      <c r="H236">
        <v>137.1</v>
      </c>
      <c r="I236">
        <v>144.6</v>
      </c>
      <c r="J236">
        <v>124.7</v>
      </c>
      <c r="K236">
        <v>145.5</v>
      </c>
      <c r="L236">
        <v>156.19999999999999</v>
      </c>
      <c r="M236">
        <v>131.5</v>
      </c>
      <c r="N236">
        <v>111.7</v>
      </c>
      <c r="O236">
        <v>142.69999999999999</v>
      </c>
      <c r="P236">
        <v>138.5</v>
      </c>
      <c r="Q236">
        <v>156.9</v>
      </c>
      <c r="R236">
        <v>144</v>
      </c>
      <c r="S236">
        <v>165.1</v>
      </c>
      <c r="T236">
        <v>151.80000000000001</v>
      </c>
      <c r="U236">
        <v>146.6</v>
      </c>
      <c r="V236">
        <v>151.1</v>
      </c>
      <c r="W236" s="1">
        <v>139.12</v>
      </c>
      <c r="X236">
        <v>146.4</v>
      </c>
      <c r="Y236">
        <v>150.19999999999999</v>
      </c>
      <c r="Z236">
        <v>152.69999999999999</v>
      </c>
      <c r="AA236">
        <v>131.4</v>
      </c>
      <c r="AB236">
        <v>148</v>
      </c>
      <c r="AC236">
        <v>159.69999999999999</v>
      </c>
      <c r="AD236">
        <v>138.80000000000001</v>
      </c>
      <c r="AE236">
        <v>144.9</v>
      </c>
      <c r="AF236">
        <v>145.69999999999999</v>
      </c>
      <c r="AG236" s="2">
        <f>AVERAGE(All_India_Index_Upto_April23[[#This Row],[Food]:[General index]])</f>
        <v>210.91499999999994</v>
      </c>
      <c r="AH236" s="7">
        <f>DATE(All_India_Index_Upto_April23[[#This Row],[Year]],MONTH(1&amp;TRIM(All_India_Index_Upto_April23[[#This Row],[Month]])),1)</f>
        <v>43678</v>
      </c>
    </row>
    <row r="237" spans="1:34" x14ac:dyDescent="0.3">
      <c r="A237">
        <v>236</v>
      </c>
      <c r="B237" s="1" t="s">
        <v>33</v>
      </c>
      <c r="C237">
        <v>2019</v>
      </c>
      <c r="D237" s="1" t="s">
        <v>41</v>
      </c>
      <c r="E237" s="2">
        <v>2037</v>
      </c>
      <c r="F237">
        <v>142.1</v>
      </c>
      <c r="G237">
        <v>158.30000000000001</v>
      </c>
      <c r="H237">
        <v>140.80000000000001</v>
      </c>
      <c r="I237">
        <v>144.9</v>
      </c>
      <c r="J237">
        <v>119.9</v>
      </c>
      <c r="K237">
        <v>153.9</v>
      </c>
      <c r="L237">
        <v>189.1</v>
      </c>
      <c r="M237">
        <v>129.80000000000001</v>
      </c>
      <c r="N237">
        <v>112.7</v>
      </c>
      <c r="O237">
        <v>142.5</v>
      </c>
      <c r="P237">
        <v>129.80000000000001</v>
      </c>
      <c r="Q237">
        <v>156.19999999999999</v>
      </c>
      <c r="R237">
        <v>149.1</v>
      </c>
      <c r="S237">
        <v>167.9</v>
      </c>
      <c r="T237">
        <v>145</v>
      </c>
      <c r="U237">
        <v>132.19999999999999</v>
      </c>
      <c r="V237">
        <v>143</v>
      </c>
      <c r="W237" s="1">
        <v>151.6</v>
      </c>
      <c r="X237">
        <v>125.5</v>
      </c>
      <c r="Y237">
        <v>138.1</v>
      </c>
      <c r="Z237">
        <v>141.5</v>
      </c>
      <c r="AA237">
        <v>120.8</v>
      </c>
      <c r="AB237">
        <v>135.4</v>
      </c>
      <c r="AC237">
        <v>151.5</v>
      </c>
      <c r="AD237">
        <v>137.80000000000001</v>
      </c>
      <c r="AE237">
        <v>135.30000000000001</v>
      </c>
      <c r="AF237">
        <v>144.19999999999999</v>
      </c>
      <c r="AG237" s="2">
        <f>AVERAGE(All_India_Index_Upto_April23[[#This Row],[Food]:[General index]])</f>
        <v>209.85357142857146</v>
      </c>
      <c r="AH237" s="7">
        <f>DATE(All_India_Index_Upto_April23[[#This Row],[Year]],MONTH(1&amp;TRIM(All_India_Index_Upto_April23[[#This Row],[Month]])),1)</f>
        <v>43678</v>
      </c>
    </row>
    <row r="238" spans="1:34" x14ac:dyDescent="0.3">
      <c r="A238">
        <v>237</v>
      </c>
      <c r="B238" s="1" t="s">
        <v>34</v>
      </c>
      <c r="C238">
        <v>2019</v>
      </c>
      <c r="D238" s="1" t="s">
        <v>41</v>
      </c>
      <c r="E238" s="2">
        <v>2012.3</v>
      </c>
      <c r="F238">
        <v>140.1</v>
      </c>
      <c r="G238">
        <v>160.6</v>
      </c>
      <c r="H238">
        <v>138.5</v>
      </c>
      <c r="I238">
        <v>144.69999999999999</v>
      </c>
      <c r="J238">
        <v>122.9</v>
      </c>
      <c r="K238">
        <v>149.4</v>
      </c>
      <c r="L238">
        <v>167.4</v>
      </c>
      <c r="M238">
        <v>130.9</v>
      </c>
      <c r="N238">
        <v>112</v>
      </c>
      <c r="O238">
        <v>142.6</v>
      </c>
      <c r="P238">
        <v>134.9</v>
      </c>
      <c r="Q238">
        <v>156.6</v>
      </c>
      <c r="R238">
        <v>145.9</v>
      </c>
      <c r="S238">
        <v>165.8</v>
      </c>
      <c r="T238">
        <v>149.1</v>
      </c>
      <c r="U238">
        <v>140.6</v>
      </c>
      <c r="V238">
        <v>147.9</v>
      </c>
      <c r="W238" s="1">
        <v>151.6</v>
      </c>
      <c r="X238">
        <v>138.5</v>
      </c>
      <c r="Y238">
        <v>144.5</v>
      </c>
      <c r="Z238">
        <v>148.5</v>
      </c>
      <c r="AA238">
        <v>125.8</v>
      </c>
      <c r="AB238">
        <v>140.9</v>
      </c>
      <c r="AC238">
        <v>154.9</v>
      </c>
      <c r="AD238">
        <v>138.4</v>
      </c>
      <c r="AE238">
        <v>140.19999999999999</v>
      </c>
      <c r="AF238">
        <v>145</v>
      </c>
      <c r="AG238" s="2">
        <f>AVERAGE(All_India_Index_Upto_April23[[#This Row],[Food]:[General index]])</f>
        <v>210.375</v>
      </c>
      <c r="AH238" s="7">
        <f>DATE(All_India_Index_Upto_April23[[#This Row],[Year]],MONTH(1&amp;TRIM(All_India_Index_Upto_April23[[#This Row],[Month]])),1)</f>
        <v>43678</v>
      </c>
    </row>
    <row r="239" spans="1:34" x14ac:dyDescent="0.3">
      <c r="A239">
        <v>238</v>
      </c>
      <c r="B239" s="1" t="s">
        <v>18</v>
      </c>
      <c r="C239">
        <v>2019</v>
      </c>
      <c r="D239" s="1" t="s">
        <v>42</v>
      </c>
      <c r="E239" s="2">
        <v>2014.4</v>
      </c>
      <c r="F239">
        <v>140.1</v>
      </c>
      <c r="G239">
        <v>161.9</v>
      </c>
      <c r="H239">
        <v>138.30000000000001</v>
      </c>
      <c r="I239">
        <v>145.69999999999999</v>
      </c>
      <c r="J239">
        <v>125.1</v>
      </c>
      <c r="K239">
        <v>143.80000000000001</v>
      </c>
      <c r="L239">
        <v>163.4</v>
      </c>
      <c r="M239">
        <v>132.19999999999999</v>
      </c>
      <c r="N239">
        <v>112.8</v>
      </c>
      <c r="O239">
        <v>144.19999999999999</v>
      </c>
      <c r="P239">
        <v>138.5</v>
      </c>
      <c r="Q239">
        <v>157.19999999999999</v>
      </c>
      <c r="R239">
        <v>145.5</v>
      </c>
      <c r="S239">
        <v>165.7</v>
      </c>
      <c r="T239">
        <v>151.69999999999999</v>
      </c>
      <c r="U239">
        <v>146.6</v>
      </c>
      <c r="V239">
        <v>151</v>
      </c>
      <c r="W239" s="1">
        <v>139.12</v>
      </c>
      <c r="X239">
        <v>146.9</v>
      </c>
      <c r="Y239">
        <v>150.30000000000001</v>
      </c>
      <c r="Z239">
        <v>153.4</v>
      </c>
      <c r="AA239">
        <v>131.6</v>
      </c>
      <c r="AB239">
        <v>148.30000000000001</v>
      </c>
      <c r="AC239">
        <v>160.19999999999999</v>
      </c>
      <c r="AD239">
        <v>140.19999999999999</v>
      </c>
      <c r="AE239">
        <v>145.4</v>
      </c>
      <c r="AF239">
        <v>146.69999999999999</v>
      </c>
      <c r="AG239" s="2">
        <f>AVERAGE(All_India_Index_Upto_April23[[#This Row],[Food]:[General index]])</f>
        <v>212.15071428571426</v>
      </c>
      <c r="AH239" s="7">
        <f>DATE(All_India_Index_Upto_April23[[#This Row],[Year]],MONTH(1&amp;TRIM(All_India_Index_Upto_April23[[#This Row],[Month]])),1)</f>
        <v>43709</v>
      </c>
    </row>
    <row r="240" spans="1:34" x14ac:dyDescent="0.3">
      <c r="A240">
        <v>239</v>
      </c>
      <c r="B240" s="1" t="s">
        <v>33</v>
      </c>
      <c r="C240">
        <v>2019</v>
      </c>
      <c r="D240" s="1" t="s">
        <v>42</v>
      </c>
      <c r="E240" s="2">
        <v>2043.5</v>
      </c>
      <c r="F240">
        <v>142.69999999999999</v>
      </c>
      <c r="G240">
        <v>158.69999999999999</v>
      </c>
      <c r="H240">
        <v>141.6</v>
      </c>
      <c r="I240">
        <v>144.9</v>
      </c>
      <c r="J240">
        <v>120.8</v>
      </c>
      <c r="K240">
        <v>149.80000000000001</v>
      </c>
      <c r="L240">
        <v>192.4</v>
      </c>
      <c r="M240">
        <v>130.30000000000001</v>
      </c>
      <c r="N240">
        <v>114</v>
      </c>
      <c r="O240">
        <v>143.80000000000001</v>
      </c>
      <c r="P240">
        <v>130</v>
      </c>
      <c r="Q240">
        <v>156.4</v>
      </c>
      <c r="R240">
        <v>149.5</v>
      </c>
      <c r="S240">
        <v>168.6</v>
      </c>
      <c r="T240">
        <v>145.30000000000001</v>
      </c>
      <c r="U240">
        <v>132.19999999999999</v>
      </c>
      <c r="V240">
        <v>143.30000000000001</v>
      </c>
      <c r="W240" s="1">
        <v>152.19999999999999</v>
      </c>
      <c r="X240">
        <v>126.6</v>
      </c>
      <c r="Y240">
        <v>138.30000000000001</v>
      </c>
      <c r="Z240">
        <v>141.9</v>
      </c>
      <c r="AA240">
        <v>121.2</v>
      </c>
      <c r="AB240">
        <v>135.9</v>
      </c>
      <c r="AC240">
        <v>151.6</v>
      </c>
      <c r="AD240">
        <v>139</v>
      </c>
      <c r="AE240">
        <v>135.69999999999999</v>
      </c>
      <c r="AF240">
        <v>144.69999999999999</v>
      </c>
      <c r="AG240" s="2">
        <f>AVERAGE(All_India_Index_Upto_April23[[#This Row],[Food]:[General index]])</f>
        <v>210.53214285714284</v>
      </c>
      <c r="AH240" s="7">
        <f>DATE(All_India_Index_Upto_April23[[#This Row],[Year]],MONTH(1&amp;TRIM(All_India_Index_Upto_April23[[#This Row],[Month]])),1)</f>
        <v>43709</v>
      </c>
    </row>
    <row r="241" spans="1:34" x14ac:dyDescent="0.3">
      <c r="A241">
        <v>240</v>
      </c>
      <c r="B241" s="1" t="s">
        <v>34</v>
      </c>
      <c r="C241">
        <v>2019</v>
      </c>
      <c r="D241" s="1" t="s">
        <v>42</v>
      </c>
      <c r="E241" s="2">
        <v>2024.1999999999998</v>
      </c>
      <c r="F241">
        <v>140.9</v>
      </c>
      <c r="G241">
        <v>160.80000000000001</v>
      </c>
      <c r="H241">
        <v>139.6</v>
      </c>
      <c r="I241">
        <v>145.4</v>
      </c>
      <c r="J241">
        <v>123.5</v>
      </c>
      <c r="K241">
        <v>146.6</v>
      </c>
      <c r="L241">
        <v>173.2</v>
      </c>
      <c r="M241">
        <v>131.6</v>
      </c>
      <c r="N241">
        <v>113.2</v>
      </c>
      <c r="O241">
        <v>144.1</v>
      </c>
      <c r="P241">
        <v>135</v>
      </c>
      <c r="Q241">
        <v>156.80000000000001</v>
      </c>
      <c r="R241">
        <v>147</v>
      </c>
      <c r="S241">
        <v>166.5</v>
      </c>
      <c r="T241">
        <v>149.19999999999999</v>
      </c>
      <c r="U241">
        <v>140.6</v>
      </c>
      <c r="V241">
        <v>147.9</v>
      </c>
      <c r="W241" s="1">
        <v>152.19999999999999</v>
      </c>
      <c r="X241">
        <v>139.19999999999999</v>
      </c>
      <c r="Y241">
        <v>144.6</v>
      </c>
      <c r="Z241">
        <v>149</v>
      </c>
      <c r="AA241">
        <v>126.1</v>
      </c>
      <c r="AB241">
        <v>141.30000000000001</v>
      </c>
      <c r="AC241">
        <v>155.19999999999999</v>
      </c>
      <c r="AD241">
        <v>139.69999999999999</v>
      </c>
      <c r="AE241">
        <v>140.69999999999999</v>
      </c>
      <c r="AF241">
        <v>145.80000000000001</v>
      </c>
      <c r="AG241" s="2">
        <f>AVERAGE(All_India_Index_Upto_April23[[#This Row],[Food]:[General index]])</f>
        <v>211.42499999999998</v>
      </c>
      <c r="AH241" s="7">
        <f>DATE(All_India_Index_Upto_April23[[#This Row],[Year]],MONTH(1&amp;TRIM(All_India_Index_Upto_April23[[#This Row],[Month]])),1)</f>
        <v>43709</v>
      </c>
    </row>
    <row r="242" spans="1:34" x14ac:dyDescent="0.3">
      <c r="A242">
        <v>241</v>
      </c>
      <c r="B242" s="1" t="s">
        <v>18</v>
      </c>
      <c r="C242">
        <v>2019</v>
      </c>
      <c r="D242" s="1" t="s">
        <v>43</v>
      </c>
      <c r="E242" s="2">
        <v>2043.1999999999996</v>
      </c>
      <c r="F242">
        <v>141</v>
      </c>
      <c r="G242">
        <v>161.6</v>
      </c>
      <c r="H242">
        <v>141.19999999999999</v>
      </c>
      <c r="I242">
        <v>146.5</v>
      </c>
      <c r="J242">
        <v>125.6</v>
      </c>
      <c r="K242">
        <v>145.69999999999999</v>
      </c>
      <c r="L242">
        <v>178.8</v>
      </c>
      <c r="M242">
        <v>133.1</v>
      </c>
      <c r="N242">
        <v>113.6</v>
      </c>
      <c r="O242">
        <v>145.5</v>
      </c>
      <c r="P242">
        <v>138.6</v>
      </c>
      <c r="Q242">
        <v>157.4</v>
      </c>
      <c r="R242">
        <v>148.30000000000001</v>
      </c>
      <c r="S242">
        <v>166.3</v>
      </c>
      <c r="T242">
        <v>151.69999999999999</v>
      </c>
      <c r="U242">
        <v>146.69999999999999</v>
      </c>
      <c r="V242">
        <v>151</v>
      </c>
      <c r="W242" s="1">
        <v>139.12</v>
      </c>
      <c r="X242">
        <v>147.69999999999999</v>
      </c>
      <c r="Y242">
        <v>150.6</v>
      </c>
      <c r="Z242">
        <v>153.69999999999999</v>
      </c>
      <c r="AA242">
        <v>131.69999999999999</v>
      </c>
      <c r="AB242">
        <v>148.69999999999999</v>
      </c>
      <c r="AC242">
        <v>160.69999999999999</v>
      </c>
      <c r="AD242">
        <v>140.30000000000001</v>
      </c>
      <c r="AE242">
        <v>145.69999999999999</v>
      </c>
      <c r="AF242">
        <v>148.30000000000001</v>
      </c>
      <c r="AG242" s="2">
        <f>AVERAGE(All_India_Index_Upto_April23[[#This Row],[Food]:[General index]])</f>
        <v>214.36857142857139</v>
      </c>
      <c r="AH242" s="7">
        <f>DATE(All_India_Index_Upto_April23[[#This Row],[Year]],MONTH(1&amp;TRIM(All_India_Index_Upto_April23[[#This Row],[Month]])),1)</f>
        <v>43739</v>
      </c>
    </row>
    <row r="243" spans="1:34" x14ac:dyDescent="0.3">
      <c r="A243">
        <v>242</v>
      </c>
      <c r="B243" s="1" t="s">
        <v>33</v>
      </c>
      <c r="C243">
        <v>2019</v>
      </c>
      <c r="D243" s="1" t="s">
        <v>43</v>
      </c>
      <c r="E243" s="2">
        <v>2071.9</v>
      </c>
      <c r="F243">
        <v>143.5</v>
      </c>
      <c r="G243">
        <v>159.80000000000001</v>
      </c>
      <c r="H243">
        <v>144.69999999999999</v>
      </c>
      <c r="I243">
        <v>145.6</v>
      </c>
      <c r="J243">
        <v>121.1</v>
      </c>
      <c r="K243">
        <v>150.6</v>
      </c>
      <c r="L243">
        <v>207.2</v>
      </c>
      <c r="M243">
        <v>131.19999999999999</v>
      </c>
      <c r="N243">
        <v>114.8</v>
      </c>
      <c r="O243">
        <v>145.19999999999999</v>
      </c>
      <c r="P243">
        <v>130.19999999999999</v>
      </c>
      <c r="Q243">
        <v>156.80000000000001</v>
      </c>
      <c r="R243">
        <v>151.9</v>
      </c>
      <c r="S243">
        <v>169.3</v>
      </c>
      <c r="T243">
        <v>145.9</v>
      </c>
      <c r="U243">
        <v>132.4</v>
      </c>
      <c r="V243">
        <v>143.9</v>
      </c>
      <c r="W243" s="1">
        <v>153</v>
      </c>
      <c r="X243">
        <v>128.9</v>
      </c>
      <c r="Y243">
        <v>138.69999999999999</v>
      </c>
      <c r="Z243">
        <v>142.4</v>
      </c>
      <c r="AA243">
        <v>121.5</v>
      </c>
      <c r="AB243">
        <v>136.19999999999999</v>
      </c>
      <c r="AC243">
        <v>151.69999999999999</v>
      </c>
      <c r="AD243">
        <v>139.5</v>
      </c>
      <c r="AE243">
        <v>136</v>
      </c>
      <c r="AF243">
        <v>146</v>
      </c>
      <c r="AG243" s="2">
        <f>AVERAGE(All_India_Index_Upto_April23[[#This Row],[Food]:[General index]])</f>
        <v>212.85357142857131</v>
      </c>
      <c r="AH243" s="7">
        <f>DATE(All_India_Index_Upto_April23[[#This Row],[Year]],MONTH(1&amp;TRIM(All_India_Index_Upto_April23[[#This Row],[Month]])),1)</f>
        <v>43739</v>
      </c>
    </row>
    <row r="244" spans="1:34" x14ac:dyDescent="0.3">
      <c r="A244">
        <v>243</v>
      </c>
      <c r="B244" s="1" t="s">
        <v>34</v>
      </c>
      <c r="C244">
        <v>2019</v>
      </c>
      <c r="D244" s="1" t="s">
        <v>43</v>
      </c>
      <c r="E244" s="2">
        <v>2052.6999999999998</v>
      </c>
      <c r="F244">
        <v>141.80000000000001</v>
      </c>
      <c r="G244">
        <v>161</v>
      </c>
      <c r="H244">
        <v>142.6</v>
      </c>
      <c r="I244">
        <v>146.19999999999999</v>
      </c>
      <c r="J244">
        <v>123.9</v>
      </c>
      <c r="K244">
        <v>148</v>
      </c>
      <c r="L244">
        <v>188.4</v>
      </c>
      <c r="M244">
        <v>132.5</v>
      </c>
      <c r="N244">
        <v>114</v>
      </c>
      <c r="O244">
        <v>145.4</v>
      </c>
      <c r="P244">
        <v>135.1</v>
      </c>
      <c r="Q244">
        <v>157.1</v>
      </c>
      <c r="R244">
        <v>149.6</v>
      </c>
      <c r="S244">
        <v>167.1</v>
      </c>
      <c r="T244">
        <v>149.4</v>
      </c>
      <c r="U244">
        <v>140.80000000000001</v>
      </c>
      <c r="V244">
        <v>148.19999999999999</v>
      </c>
      <c r="W244" s="1">
        <v>153</v>
      </c>
      <c r="X244">
        <v>140.6</v>
      </c>
      <c r="Y244">
        <v>145</v>
      </c>
      <c r="Z244">
        <v>149.4</v>
      </c>
      <c r="AA244">
        <v>126.3</v>
      </c>
      <c r="AB244">
        <v>141.69999999999999</v>
      </c>
      <c r="AC244">
        <v>155.4</v>
      </c>
      <c r="AD244">
        <v>140</v>
      </c>
      <c r="AE244">
        <v>141</v>
      </c>
      <c r="AF244">
        <v>147.19999999999999</v>
      </c>
      <c r="AG244" s="2">
        <f>AVERAGE(All_India_Index_Upto_April23[[#This Row],[Food]:[General index]])</f>
        <v>213.69285714285709</v>
      </c>
      <c r="AH244" s="7">
        <f>DATE(All_India_Index_Upto_April23[[#This Row],[Year]],MONTH(1&amp;TRIM(All_India_Index_Upto_April23[[#This Row],[Month]])),1)</f>
        <v>43739</v>
      </c>
    </row>
    <row r="245" spans="1:34" x14ac:dyDescent="0.3">
      <c r="A245">
        <v>244</v>
      </c>
      <c r="B245" s="1" t="s">
        <v>18</v>
      </c>
      <c r="C245">
        <v>2019</v>
      </c>
      <c r="D245" s="1" t="s">
        <v>45</v>
      </c>
      <c r="E245" s="2">
        <v>2071.8000000000002</v>
      </c>
      <c r="F245">
        <v>141.80000000000001</v>
      </c>
      <c r="G245">
        <v>163.69999999999999</v>
      </c>
      <c r="H245">
        <v>143.80000000000001</v>
      </c>
      <c r="I245">
        <v>147.1</v>
      </c>
      <c r="J245">
        <v>126</v>
      </c>
      <c r="K245">
        <v>146.19999999999999</v>
      </c>
      <c r="L245">
        <v>191.4</v>
      </c>
      <c r="M245">
        <v>136.19999999999999</v>
      </c>
      <c r="N245">
        <v>113.8</v>
      </c>
      <c r="O245">
        <v>147.30000000000001</v>
      </c>
      <c r="P245">
        <v>138.69999999999999</v>
      </c>
      <c r="Q245">
        <v>157.69999999999999</v>
      </c>
      <c r="R245">
        <v>150.9</v>
      </c>
      <c r="S245">
        <v>167.2</v>
      </c>
      <c r="T245">
        <v>152.30000000000001</v>
      </c>
      <c r="U245">
        <v>147</v>
      </c>
      <c r="V245">
        <v>151.5</v>
      </c>
      <c r="W245" s="1">
        <v>139.12</v>
      </c>
      <c r="X245">
        <v>148.4</v>
      </c>
      <c r="Y245">
        <v>150.9</v>
      </c>
      <c r="Z245">
        <v>154.30000000000001</v>
      </c>
      <c r="AA245">
        <v>132.1</v>
      </c>
      <c r="AB245">
        <v>149.1</v>
      </c>
      <c r="AC245">
        <v>160.80000000000001</v>
      </c>
      <c r="AD245">
        <v>140.6</v>
      </c>
      <c r="AE245">
        <v>146.1</v>
      </c>
      <c r="AF245">
        <v>149.9</v>
      </c>
      <c r="AG245" s="2">
        <f>AVERAGE(All_India_Index_Upto_April23[[#This Row],[Food]:[General index]])</f>
        <v>216.63285714285718</v>
      </c>
      <c r="AH245" s="7">
        <f>DATE(All_India_Index_Upto_April23[[#This Row],[Year]],MONTH(1&amp;TRIM(All_India_Index_Upto_April23[[#This Row],[Month]])),1)</f>
        <v>43770</v>
      </c>
    </row>
    <row r="246" spans="1:34" x14ac:dyDescent="0.3">
      <c r="A246">
        <v>245</v>
      </c>
      <c r="B246" s="1" t="s">
        <v>33</v>
      </c>
      <c r="C246">
        <v>2019</v>
      </c>
      <c r="D246" s="1" t="s">
        <v>45</v>
      </c>
      <c r="E246" s="2">
        <v>2093.8999999999996</v>
      </c>
      <c r="F246">
        <v>144.1</v>
      </c>
      <c r="G246">
        <v>162.4</v>
      </c>
      <c r="H246">
        <v>148.4</v>
      </c>
      <c r="I246">
        <v>145.9</v>
      </c>
      <c r="J246">
        <v>121.5</v>
      </c>
      <c r="K246">
        <v>148.80000000000001</v>
      </c>
      <c r="L246">
        <v>215.7</v>
      </c>
      <c r="M246">
        <v>134.6</v>
      </c>
      <c r="N246">
        <v>115</v>
      </c>
      <c r="O246">
        <v>146.30000000000001</v>
      </c>
      <c r="P246">
        <v>130.5</v>
      </c>
      <c r="Q246">
        <v>157.19999999999999</v>
      </c>
      <c r="R246">
        <v>153.6</v>
      </c>
      <c r="S246">
        <v>169.9</v>
      </c>
      <c r="T246">
        <v>146.30000000000001</v>
      </c>
      <c r="U246">
        <v>132.6</v>
      </c>
      <c r="V246">
        <v>144.19999999999999</v>
      </c>
      <c r="W246" s="1">
        <v>153.5</v>
      </c>
      <c r="X246">
        <v>132.19999999999999</v>
      </c>
      <c r="Y246">
        <v>139.1</v>
      </c>
      <c r="Z246">
        <v>142.80000000000001</v>
      </c>
      <c r="AA246">
        <v>121.7</v>
      </c>
      <c r="AB246">
        <v>136.69999999999999</v>
      </c>
      <c r="AC246">
        <v>151.80000000000001</v>
      </c>
      <c r="AD246">
        <v>139.80000000000001</v>
      </c>
      <c r="AE246">
        <v>136.30000000000001</v>
      </c>
      <c r="AF246">
        <v>147</v>
      </c>
      <c r="AG246" s="2">
        <f>AVERAGE(All_India_Index_Upto_April23[[#This Row],[Food]:[General index]])</f>
        <v>214.70714285714286</v>
      </c>
      <c r="AH246" s="7">
        <f>DATE(All_India_Index_Upto_April23[[#This Row],[Year]],MONTH(1&amp;TRIM(All_India_Index_Upto_April23[[#This Row],[Month]])),1)</f>
        <v>43770</v>
      </c>
    </row>
    <row r="247" spans="1:34" x14ac:dyDescent="0.3">
      <c r="A247">
        <v>246</v>
      </c>
      <c r="B247" s="1" t="s">
        <v>34</v>
      </c>
      <c r="C247">
        <v>2019</v>
      </c>
      <c r="D247" s="1" t="s">
        <v>45</v>
      </c>
      <c r="E247" s="2">
        <v>2078.8000000000002</v>
      </c>
      <c r="F247">
        <v>142.5</v>
      </c>
      <c r="G247">
        <v>163.19999999999999</v>
      </c>
      <c r="H247">
        <v>145.6</v>
      </c>
      <c r="I247">
        <v>146.69999999999999</v>
      </c>
      <c r="J247">
        <v>124.3</v>
      </c>
      <c r="K247">
        <v>147.4</v>
      </c>
      <c r="L247">
        <v>199.6</v>
      </c>
      <c r="M247">
        <v>135.69999999999999</v>
      </c>
      <c r="N247">
        <v>114.2</v>
      </c>
      <c r="O247">
        <v>147</v>
      </c>
      <c r="P247">
        <v>135.30000000000001</v>
      </c>
      <c r="Q247">
        <v>157.5</v>
      </c>
      <c r="R247">
        <v>151.9</v>
      </c>
      <c r="S247">
        <v>167.9</v>
      </c>
      <c r="T247">
        <v>149.9</v>
      </c>
      <c r="U247">
        <v>141</v>
      </c>
      <c r="V247">
        <v>148.6</v>
      </c>
      <c r="W247" s="1">
        <v>153.5</v>
      </c>
      <c r="X247">
        <v>142.30000000000001</v>
      </c>
      <c r="Y247">
        <v>145.30000000000001</v>
      </c>
      <c r="Z247">
        <v>149.9</v>
      </c>
      <c r="AA247">
        <v>126.6</v>
      </c>
      <c r="AB247">
        <v>142.1</v>
      </c>
      <c r="AC247">
        <v>155.5</v>
      </c>
      <c r="AD247">
        <v>140.30000000000001</v>
      </c>
      <c r="AE247">
        <v>141.30000000000001</v>
      </c>
      <c r="AF247">
        <v>148.6</v>
      </c>
      <c r="AG247" s="2">
        <f>AVERAGE(All_India_Index_Upto_April23[[#This Row],[Food]:[General index]])</f>
        <v>215.80357142857147</v>
      </c>
      <c r="AH247" s="7">
        <f>DATE(All_India_Index_Upto_April23[[#This Row],[Year]],MONTH(1&amp;TRIM(All_India_Index_Upto_April23[[#This Row],[Month]])),1)</f>
        <v>43770</v>
      </c>
    </row>
    <row r="248" spans="1:34" x14ac:dyDescent="0.3">
      <c r="A248">
        <v>247</v>
      </c>
      <c r="B248" s="1" t="s">
        <v>18</v>
      </c>
      <c r="C248">
        <v>2019</v>
      </c>
      <c r="D248" s="1" t="s">
        <v>46</v>
      </c>
      <c r="E248" s="2">
        <v>2108.7999999999997</v>
      </c>
      <c r="F248">
        <v>142.80000000000001</v>
      </c>
      <c r="G248">
        <v>165.3</v>
      </c>
      <c r="H248">
        <v>149.5</v>
      </c>
      <c r="I248">
        <v>148.69999999999999</v>
      </c>
      <c r="J248">
        <v>127.5</v>
      </c>
      <c r="K248">
        <v>144.30000000000001</v>
      </c>
      <c r="L248">
        <v>209.5</v>
      </c>
      <c r="M248">
        <v>138.80000000000001</v>
      </c>
      <c r="N248">
        <v>113.6</v>
      </c>
      <c r="O248">
        <v>149.1</v>
      </c>
      <c r="P248">
        <v>139.30000000000001</v>
      </c>
      <c r="Q248">
        <v>158.30000000000001</v>
      </c>
      <c r="R248">
        <v>154.30000000000001</v>
      </c>
      <c r="S248">
        <v>167.8</v>
      </c>
      <c r="T248">
        <v>152.6</v>
      </c>
      <c r="U248">
        <v>147.30000000000001</v>
      </c>
      <c r="V248">
        <v>151.9</v>
      </c>
      <c r="W248" s="1">
        <v>139.12</v>
      </c>
      <c r="X248">
        <v>149.9</v>
      </c>
      <c r="Y248">
        <v>151.19999999999999</v>
      </c>
      <c r="Z248">
        <v>154.80000000000001</v>
      </c>
      <c r="AA248">
        <v>135</v>
      </c>
      <c r="AB248">
        <v>149.5</v>
      </c>
      <c r="AC248">
        <v>161.1</v>
      </c>
      <c r="AD248">
        <v>140.6</v>
      </c>
      <c r="AE248">
        <v>147.1</v>
      </c>
      <c r="AF248">
        <v>152.30000000000001</v>
      </c>
      <c r="AG248" s="2">
        <f>AVERAGE(All_India_Index_Upto_April23[[#This Row],[Food]:[General index]])</f>
        <v>219.64357142857148</v>
      </c>
      <c r="AH248" s="7">
        <f>DATE(All_India_Index_Upto_April23[[#This Row],[Year]],MONTH(1&amp;TRIM(All_India_Index_Upto_April23[[#This Row],[Month]])),1)</f>
        <v>43800</v>
      </c>
    </row>
    <row r="249" spans="1:34" x14ac:dyDescent="0.3">
      <c r="A249">
        <v>248</v>
      </c>
      <c r="B249" s="1" t="s">
        <v>33</v>
      </c>
      <c r="C249">
        <v>2019</v>
      </c>
      <c r="D249" s="1" t="s">
        <v>46</v>
      </c>
      <c r="E249" s="2">
        <v>2127.1</v>
      </c>
      <c r="F249">
        <v>144.9</v>
      </c>
      <c r="G249">
        <v>164.5</v>
      </c>
      <c r="H249">
        <v>153.69999999999999</v>
      </c>
      <c r="I249">
        <v>147.5</v>
      </c>
      <c r="J249">
        <v>122.7</v>
      </c>
      <c r="K249">
        <v>147.19999999999999</v>
      </c>
      <c r="L249">
        <v>231.5</v>
      </c>
      <c r="M249">
        <v>137.19999999999999</v>
      </c>
      <c r="N249">
        <v>114.7</v>
      </c>
      <c r="O249">
        <v>148</v>
      </c>
      <c r="P249">
        <v>130.80000000000001</v>
      </c>
      <c r="Q249">
        <v>157.69999999999999</v>
      </c>
      <c r="R249">
        <v>156.30000000000001</v>
      </c>
      <c r="S249">
        <v>170.4</v>
      </c>
      <c r="T249">
        <v>146.80000000000001</v>
      </c>
      <c r="U249">
        <v>132.80000000000001</v>
      </c>
      <c r="V249">
        <v>144.6</v>
      </c>
      <c r="W249" s="1">
        <v>152.80000000000001</v>
      </c>
      <c r="X249">
        <v>133.6</v>
      </c>
      <c r="Y249">
        <v>139.80000000000001</v>
      </c>
      <c r="Z249">
        <v>143.19999999999999</v>
      </c>
      <c r="AA249">
        <v>125.2</v>
      </c>
      <c r="AB249">
        <v>136.80000000000001</v>
      </c>
      <c r="AC249">
        <v>151.9</v>
      </c>
      <c r="AD249">
        <v>140.19999999999999</v>
      </c>
      <c r="AE249">
        <v>137.69999999999999</v>
      </c>
      <c r="AF249">
        <v>148.30000000000001</v>
      </c>
      <c r="AG249" s="2">
        <f>AVERAGE(All_India_Index_Upto_April23[[#This Row],[Food]:[General index]])</f>
        <v>217.42499999999998</v>
      </c>
      <c r="AH249" s="7">
        <f>DATE(All_India_Index_Upto_April23[[#This Row],[Year]],MONTH(1&amp;TRIM(All_India_Index_Upto_April23[[#This Row],[Month]])),1)</f>
        <v>43800</v>
      </c>
    </row>
    <row r="250" spans="1:34" x14ac:dyDescent="0.3">
      <c r="A250">
        <v>249</v>
      </c>
      <c r="B250" s="1" t="s">
        <v>34</v>
      </c>
      <c r="C250">
        <v>2019</v>
      </c>
      <c r="D250" s="1" t="s">
        <v>46</v>
      </c>
      <c r="E250" s="2">
        <v>2114.6000000000004</v>
      </c>
      <c r="F250">
        <v>143.5</v>
      </c>
      <c r="G250">
        <v>165</v>
      </c>
      <c r="H250">
        <v>151.1</v>
      </c>
      <c r="I250">
        <v>148.30000000000001</v>
      </c>
      <c r="J250">
        <v>125.7</v>
      </c>
      <c r="K250">
        <v>145.69999999999999</v>
      </c>
      <c r="L250">
        <v>217</v>
      </c>
      <c r="M250">
        <v>138.30000000000001</v>
      </c>
      <c r="N250">
        <v>114</v>
      </c>
      <c r="O250">
        <v>148.69999999999999</v>
      </c>
      <c r="P250">
        <v>135.80000000000001</v>
      </c>
      <c r="Q250">
        <v>158</v>
      </c>
      <c r="R250">
        <v>155</v>
      </c>
      <c r="S250">
        <v>168.5</v>
      </c>
      <c r="T250">
        <v>150.30000000000001</v>
      </c>
      <c r="U250">
        <v>141.30000000000001</v>
      </c>
      <c r="V250">
        <v>149</v>
      </c>
      <c r="W250" s="1">
        <v>152.80000000000001</v>
      </c>
      <c r="X250">
        <v>143.69999999999999</v>
      </c>
      <c r="Y250">
        <v>145.80000000000001</v>
      </c>
      <c r="Z250">
        <v>150.4</v>
      </c>
      <c r="AA250">
        <v>129.80000000000001</v>
      </c>
      <c r="AB250">
        <v>142.30000000000001</v>
      </c>
      <c r="AC250">
        <v>155.69999999999999</v>
      </c>
      <c r="AD250">
        <v>140.4</v>
      </c>
      <c r="AE250">
        <v>142.5</v>
      </c>
      <c r="AF250">
        <v>150.4</v>
      </c>
      <c r="AG250" s="2">
        <f>AVERAGE(All_India_Index_Upto_April23[[#This Row],[Food]:[General index]])</f>
        <v>218.70000000000002</v>
      </c>
      <c r="AH250" s="7">
        <f>DATE(All_India_Index_Upto_April23[[#This Row],[Year]],MONTH(1&amp;TRIM(All_India_Index_Upto_April23[[#This Row],[Month]])),1)</f>
        <v>43800</v>
      </c>
    </row>
    <row r="251" spans="1:34" x14ac:dyDescent="0.3">
      <c r="A251">
        <v>250</v>
      </c>
      <c r="B251" s="1" t="s">
        <v>18</v>
      </c>
      <c r="C251">
        <v>2020</v>
      </c>
      <c r="D251" s="1" t="s">
        <v>19</v>
      </c>
      <c r="E251" s="2">
        <v>2107.1999999999998</v>
      </c>
      <c r="F251">
        <v>143.69999999999999</v>
      </c>
      <c r="G251">
        <v>167.3</v>
      </c>
      <c r="H251">
        <v>153.5</v>
      </c>
      <c r="I251">
        <v>150.5</v>
      </c>
      <c r="J251">
        <v>132</v>
      </c>
      <c r="K251">
        <v>142.19999999999999</v>
      </c>
      <c r="L251">
        <v>191.5</v>
      </c>
      <c r="M251">
        <v>141.1</v>
      </c>
      <c r="N251">
        <v>113.8</v>
      </c>
      <c r="O251">
        <v>151.6</v>
      </c>
      <c r="P251">
        <v>139.69999999999999</v>
      </c>
      <c r="Q251">
        <v>158.69999999999999</v>
      </c>
      <c r="R251">
        <v>153</v>
      </c>
      <c r="S251">
        <v>168.6</v>
      </c>
      <c r="T251">
        <v>152.80000000000001</v>
      </c>
      <c r="U251">
        <v>147.4</v>
      </c>
      <c r="V251">
        <v>152.1</v>
      </c>
      <c r="W251" s="1">
        <v>139.12</v>
      </c>
      <c r="X251">
        <v>150.4</v>
      </c>
      <c r="Y251">
        <v>151.69999999999999</v>
      </c>
      <c r="Z251">
        <v>155.69999999999999</v>
      </c>
      <c r="AA251">
        <v>136.30000000000001</v>
      </c>
      <c r="AB251">
        <v>150.1</v>
      </c>
      <c r="AC251">
        <v>161.69999999999999</v>
      </c>
      <c r="AD251">
        <v>142.5</v>
      </c>
      <c r="AE251">
        <v>148.1</v>
      </c>
      <c r="AF251">
        <v>151.9</v>
      </c>
      <c r="AG251" s="2">
        <f>AVERAGE(All_India_Index_Upto_April23[[#This Row],[Food]:[General index]])</f>
        <v>219.7935714285714</v>
      </c>
      <c r="AH251" s="7">
        <f>DATE(All_India_Index_Upto_April23[[#This Row],[Year]],MONTH(1&amp;TRIM(All_India_Index_Upto_April23[[#This Row],[Month]])),1)</f>
        <v>43831</v>
      </c>
    </row>
    <row r="252" spans="1:34" x14ac:dyDescent="0.3">
      <c r="A252">
        <v>251</v>
      </c>
      <c r="B252" s="1" t="s">
        <v>33</v>
      </c>
      <c r="C252">
        <v>2020</v>
      </c>
      <c r="D252" s="1" t="s">
        <v>19</v>
      </c>
      <c r="E252" s="2">
        <v>2116.1999999999998</v>
      </c>
      <c r="F252">
        <v>145.6</v>
      </c>
      <c r="G252">
        <v>167.6</v>
      </c>
      <c r="H252">
        <v>157</v>
      </c>
      <c r="I252">
        <v>149.30000000000001</v>
      </c>
      <c r="J252">
        <v>126.3</v>
      </c>
      <c r="K252">
        <v>144.4</v>
      </c>
      <c r="L252">
        <v>207.8</v>
      </c>
      <c r="M252">
        <v>139.1</v>
      </c>
      <c r="N252">
        <v>114.8</v>
      </c>
      <c r="O252">
        <v>149.5</v>
      </c>
      <c r="P252">
        <v>131.1</v>
      </c>
      <c r="Q252">
        <v>158.5</v>
      </c>
      <c r="R252">
        <v>154.4</v>
      </c>
      <c r="S252">
        <v>170.8</v>
      </c>
      <c r="T252">
        <v>147</v>
      </c>
      <c r="U252">
        <v>133.19999999999999</v>
      </c>
      <c r="V252">
        <v>144.9</v>
      </c>
      <c r="W252" s="1">
        <v>153.9</v>
      </c>
      <c r="X252">
        <v>135.1</v>
      </c>
      <c r="Y252">
        <v>140.1</v>
      </c>
      <c r="Z252">
        <v>143.80000000000001</v>
      </c>
      <c r="AA252">
        <v>126.1</v>
      </c>
      <c r="AB252">
        <v>137.19999999999999</v>
      </c>
      <c r="AC252">
        <v>152.1</v>
      </c>
      <c r="AD252">
        <v>142.1</v>
      </c>
      <c r="AE252">
        <v>138.4</v>
      </c>
      <c r="AF252">
        <v>148.19999999999999</v>
      </c>
      <c r="AG252" s="2">
        <f>AVERAGE(All_India_Index_Upto_April23[[#This Row],[Food]:[General index]])</f>
        <v>216.94642857142861</v>
      </c>
      <c r="AH252" s="7">
        <f>DATE(All_India_Index_Upto_April23[[#This Row],[Year]],MONTH(1&amp;TRIM(All_India_Index_Upto_April23[[#This Row],[Month]])),1)</f>
        <v>43831</v>
      </c>
    </row>
    <row r="253" spans="1:34" x14ac:dyDescent="0.3">
      <c r="A253">
        <v>252</v>
      </c>
      <c r="B253" s="1" t="s">
        <v>34</v>
      </c>
      <c r="C253">
        <v>2020</v>
      </c>
      <c r="D253" s="1" t="s">
        <v>19</v>
      </c>
      <c r="E253" s="2">
        <v>2109.6</v>
      </c>
      <c r="F253">
        <v>144.30000000000001</v>
      </c>
      <c r="G253">
        <v>167.4</v>
      </c>
      <c r="H253">
        <v>154.9</v>
      </c>
      <c r="I253">
        <v>150.1</v>
      </c>
      <c r="J253">
        <v>129.9</v>
      </c>
      <c r="K253">
        <v>143.19999999999999</v>
      </c>
      <c r="L253">
        <v>197</v>
      </c>
      <c r="M253">
        <v>140.4</v>
      </c>
      <c r="N253">
        <v>114.1</v>
      </c>
      <c r="O253">
        <v>150.9</v>
      </c>
      <c r="P253">
        <v>136.1</v>
      </c>
      <c r="Q253">
        <v>158.6</v>
      </c>
      <c r="R253">
        <v>153.5</v>
      </c>
      <c r="S253">
        <v>169.2</v>
      </c>
      <c r="T253">
        <v>150.5</v>
      </c>
      <c r="U253">
        <v>141.5</v>
      </c>
      <c r="V253">
        <v>149.19999999999999</v>
      </c>
      <c r="W253" s="1">
        <v>153.9</v>
      </c>
      <c r="X253">
        <v>144.6</v>
      </c>
      <c r="Y253">
        <v>146.19999999999999</v>
      </c>
      <c r="Z253">
        <v>151.19999999999999</v>
      </c>
      <c r="AA253">
        <v>130.9</v>
      </c>
      <c r="AB253">
        <v>142.80000000000001</v>
      </c>
      <c r="AC253">
        <v>156.1</v>
      </c>
      <c r="AD253">
        <v>142.30000000000001</v>
      </c>
      <c r="AE253">
        <v>143.4</v>
      </c>
      <c r="AF253">
        <v>150.19999999999999</v>
      </c>
      <c r="AG253" s="2">
        <f>AVERAGE(All_India_Index_Upto_April23[[#This Row],[Food]:[General index]])</f>
        <v>218.64285714285711</v>
      </c>
      <c r="AH253" s="7">
        <f>DATE(All_India_Index_Upto_April23[[#This Row],[Year]],MONTH(1&amp;TRIM(All_India_Index_Upto_April23[[#This Row],[Month]])),1)</f>
        <v>43831</v>
      </c>
    </row>
    <row r="254" spans="1:34" x14ac:dyDescent="0.3">
      <c r="A254">
        <v>253</v>
      </c>
      <c r="B254" s="1" t="s">
        <v>18</v>
      </c>
      <c r="C254">
        <v>2020</v>
      </c>
      <c r="D254" s="1" t="s">
        <v>35</v>
      </c>
      <c r="E254" s="2">
        <v>2079.1999999999998</v>
      </c>
      <c r="F254">
        <v>144.19999999999999</v>
      </c>
      <c r="G254">
        <v>167.5</v>
      </c>
      <c r="H254">
        <v>150.9</v>
      </c>
      <c r="I254">
        <v>150.9</v>
      </c>
      <c r="J254">
        <v>133.69999999999999</v>
      </c>
      <c r="K254">
        <v>140.69999999999999</v>
      </c>
      <c r="L254">
        <v>165.1</v>
      </c>
      <c r="M254">
        <v>141.80000000000001</v>
      </c>
      <c r="N254">
        <v>113.1</v>
      </c>
      <c r="O254">
        <v>152.80000000000001</v>
      </c>
      <c r="P254">
        <v>140.1</v>
      </c>
      <c r="Q254">
        <v>159.19999999999999</v>
      </c>
      <c r="R254">
        <v>149.80000000000001</v>
      </c>
      <c r="S254">
        <v>169.4</v>
      </c>
      <c r="T254">
        <v>153</v>
      </c>
      <c r="U254">
        <v>147.5</v>
      </c>
      <c r="V254">
        <v>152.30000000000001</v>
      </c>
      <c r="W254" s="1">
        <v>139.12</v>
      </c>
      <c r="X254">
        <v>152.30000000000001</v>
      </c>
      <c r="Y254">
        <v>151.80000000000001</v>
      </c>
      <c r="Z254">
        <v>156.19999999999999</v>
      </c>
      <c r="AA254">
        <v>136</v>
      </c>
      <c r="AB254">
        <v>150.4</v>
      </c>
      <c r="AC254">
        <v>161.9</v>
      </c>
      <c r="AD254">
        <v>143.4</v>
      </c>
      <c r="AE254">
        <v>148.4</v>
      </c>
      <c r="AF254">
        <v>150.4</v>
      </c>
      <c r="AG254" s="2">
        <f>AVERAGE(All_India_Index_Upto_April23[[#This Row],[Food]:[General index]])</f>
        <v>217.8971428571428</v>
      </c>
      <c r="AH254" s="7">
        <f>DATE(All_India_Index_Upto_April23[[#This Row],[Year]],MONTH(1&amp;TRIM(All_India_Index_Upto_April23[[#This Row],[Month]])),1)</f>
        <v>43862</v>
      </c>
    </row>
    <row r="255" spans="1:34" x14ac:dyDescent="0.3">
      <c r="A255">
        <v>254</v>
      </c>
      <c r="B255" s="1" t="s">
        <v>33</v>
      </c>
      <c r="C255">
        <v>2020</v>
      </c>
      <c r="D255" s="1" t="s">
        <v>35</v>
      </c>
      <c r="E255" s="2">
        <v>2088.6</v>
      </c>
      <c r="F255">
        <v>146.19999999999999</v>
      </c>
      <c r="G255">
        <v>167.6</v>
      </c>
      <c r="H255">
        <v>153.1</v>
      </c>
      <c r="I255">
        <v>150.69999999999999</v>
      </c>
      <c r="J255">
        <v>127.4</v>
      </c>
      <c r="K255">
        <v>143.1</v>
      </c>
      <c r="L255">
        <v>181.7</v>
      </c>
      <c r="M255">
        <v>139.6</v>
      </c>
      <c r="N255">
        <v>114.6</v>
      </c>
      <c r="O255">
        <v>150.4</v>
      </c>
      <c r="P255">
        <v>131.5</v>
      </c>
      <c r="Q255">
        <v>159</v>
      </c>
      <c r="R255">
        <v>151.69999999999999</v>
      </c>
      <c r="S255">
        <v>172</v>
      </c>
      <c r="T255">
        <v>147.30000000000001</v>
      </c>
      <c r="U255">
        <v>133.5</v>
      </c>
      <c r="V255">
        <v>145.19999999999999</v>
      </c>
      <c r="W255" s="1">
        <v>154.80000000000001</v>
      </c>
      <c r="X255">
        <v>138.9</v>
      </c>
      <c r="Y255">
        <v>140.4</v>
      </c>
      <c r="Z255">
        <v>144.4</v>
      </c>
      <c r="AA255">
        <v>125.2</v>
      </c>
      <c r="AB255">
        <v>137.69999999999999</v>
      </c>
      <c r="AC255">
        <v>152.19999999999999</v>
      </c>
      <c r="AD255">
        <v>143.5</v>
      </c>
      <c r="AE255">
        <v>138.4</v>
      </c>
      <c r="AF255">
        <v>147.69999999999999</v>
      </c>
      <c r="AG255" s="2">
        <f>AVERAGE(All_India_Index_Upto_April23[[#This Row],[Food]:[General index]])</f>
        <v>215.22857142857131</v>
      </c>
      <c r="AH255" s="7">
        <f>DATE(All_India_Index_Upto_April23[[#This Row],[Year]],MONTH(1&amp;TRIM(All_India_Index_Upto_April23[[#This Row],[Month]])),1)</f>
        <v>43862</v>
      </c>
    </row>
    <row r="256" spans="1:34" x14ac:dyDescent="0.3">
      <c r="A256">
        <v>255</v>
      </c>
      <c r="B256" s="1" t="s">
        <v>34</v>
      </c>
      <c r="C256">
        <v>2020</v>
      </c>
      <c r="D256" s="1" t="s">
        <v>35</v>
      </c>
      <c r="E256" s="2">
        <v>2081.6999999999998</v>
      </c>
      <c r="F256">
        <v>144.80000000000001</v>
      </c>
      <c r="G256">
        <v>167.5</v>
      </c>
      <c r="H256">
        <v>151.80000000000001</v>
      </c>
      <c r="I256">
        <v>150.80000000000001</v>
      </c>
      <c r="J256">
        <v>131.4</v>
      </c>
      <c r="K256">
        <v>141.80000000000001</v>
      </c>
      <c r="L256">
        <v>170.7</v>
      </c>
      <c r="M256">
        <v>141.1</v>
      </c>
      <c r="N256">
        <v>113.6</v>
      </c>
      <c r="O256">
        <v>152</v>
      </c>
      <c r="P256">
        <v>136.5</v>
      </c>
      <c r="Q256">
        <v>159.1</v>
      </c>
      <c r="R256">
        <v>150.5</v>
      </c>
      <c r="S256">
        <v>170.1</v>
      </c>
      <c r="T256">
        <v>150.80000000000001</v>
      </c>
      <c r="U256">
        <v>141.69999999999999</v>
      </c>
      <c r="V256">
        <v>149.5</v>
      </c>
      <c r="W256" s="1">
        <v>154.80000000000001</v>
      </c>
      <c r="X256">
        <v>147.19999999999999</v>
      </c>
      <c r="Y256">
        <v>146.4</v>
      </c>
      <c r="Z256">
        <v>151.69999999999999</v>
      </c>
      <c r="AA256">
        <v>130.30000000000001</v>
      </c>
      <c r="AB256">
        <v>143.19999999999999</v>
      </c>
      <c r="AC256">
        <v>156.19999999999999</v>
      </c>
      <c r="AD256">
        <v>143.4</v>
      </c>
      <c r="AE256">
        <v>143.6</v>
      </c>
      <c r="AF256">
        <v>149.1</v>
      </c>
      <c r="AG256" s="2">
        <f>AVERAGE(All_India_Index_Upto_April23[[#This Row],[Food]:[General index]])</f>
        <v>216.83214285714286</v>
      </c>
      <c r="AH256" s="7">
        <f>DATE(All_India_Index_Upto_April23[[#This Row],[Year]],MONTH(1&amp;TRIM(All_India_Index_Upto_April23[[#This Row],[Month]])),1)</f>
        <v>43862</v>
      </c>
    </row>
    <row r="257" spans="1:34" x14ac:dyDescent="0.3">
      <c r="A257">
        <v>256</v>
      </c>
      <c r="B257" s="1" t="s">
        <v>18</v>
      </c>
      <c r="C257">
        <v>2020</v>
      </c>
      <c r="D257" s="1" t="s">
        <v>36</v>
      </c>
      <c r="E257" s="2">
        <v>2065.0999999999995</v>
      </c>
      <c r="F257">
        <v>144.4</v>
      </c>
      <c r="G257">
        <v>166.8</v>
      </c>
      <c r="H257">
        <v>147.6</v>
      </c>
      <c r="I257">
        <v>151.69999999999999</v>
      </c>
      <c r="J257">
        <v>133.30000000000001</v>
      </c>
      <c r="K257">
        <v>141.80000000000001</v>
      </c>
      <c r="L257">
        <v>152.30000000000001</v>
      </c>
      <c r="M257">
        <v>141.80000000000001</v>
      </c>
      <c r="N257">
        <v>112.6</v>
      </c>
      <c r="O257">
        <v>154</v>
      </c>
      <c r="P257">
        <v>140.1</v>
      </c>
      <c r="Q257">
        <v>160</v>
      </c>
      <c r="R257">
        <v>148.19999999999999</v>
      </c>
      <c r="S257">
        <v>170.5</v>
      </c>
      <c r="T257">
        <v>153.4</v>
      </c>
      <c r="U257">
        <v>147.6</v>
      </c>
      <c r="V257">
        <v>152.5</v>
      </c>
      <c r="W257" s="1">
        <v>139.12</v>
      </c>
      <c r="X257">
        <v>153.4</v>
      </c>
      <c r="Y257">
        <v>151.5</v>
      </c>
      <c r="Z257">
        <v>156.69999999999999</v>
      </c>
      <c r="AA257">
        <v>135.80000000000001</v>
      </c>
      <c r="AB257">
        <v>151.19999999999999</v>
      </c>
      <c r="AC257">
        <v>161.19999999999999</v>
      </c>
      <c r="AD257">
        <v>145.1</v>
      </c>
      <c r="AE257">
        <v>148.6</v>
      </c>
      <c r="AF257">
        <v>149.80000000000001</v>
      </c>
      <c r="AG257" s="2">
        <f>AVERAGE(All_India_Index_Upto_April23[[#This Row],[Food]:[General index]])</f>
        <v>217.00428571428571</v>
      </c>
      <c r="AH257" s="7">
        <f>DATE(All_India_Index_Upto_April23[[#This Row],[Year]],MONTH(1&amp;TRIM(All_India_Index_Upto_April23[[#This Row],[Month]])),1)</f>
        <v>43891</v>
      </c>
    </row>
    <row r="258" spans="1:34" x14ac:dyDescent="0.3">
      <c r="A258">
        <v>257</v>
      </c>
      <c r="B258" s="1" t="s">
        <v>33</v>
      </c>
      <c r="C258">
        <v>2020</v>
      </c>
      <c r="D258" s="1" t="s">
        <v>36</v>
      </c>
      <c r="E258" s="2">
        <v>2071.8000000000002</v>
      </c>
      <c r="F258">
        <v>146.5</v>
      </c>
      <c r="G258">
        <v>167.5</v>
      </c>
      <c r="H258">
        <v>148.9</v>
      </c>
      <c r="I258">
        <v>151.1</v>
      </c>
      <c r="J258">
        <v>127.5</v>
      </c>
      <c r="K258">
        <v>143.30000000000001</v>
      </c>
      <c r="L258">
        <v>167</v>
      </c>
      <c r="M258">
        <v>139.69999999999999</v>
      </c>
      <c r="N258">
        <v>114.4</v>
      </c>
      <c r="O258">
        <v>151.5</v>
      </c>
      <c r="P258">
        <v>131.9</v>
      </c>
      <c r="Q258">
        <v>159.1</v>
      </c>
      <c r="R258">
        <v>150.1</v>
      </c>
      <c r="S258">
        <v>173.3</v>
      </c>
      <c r="T258">
        <v>147.69999999999999</v>
      </c>
      <c r="U258">
        <v>133.80000000000001</v>
      </c>
      <c r="V258">
        <v>145.6</v>
      </c>
      <c r="W258" s="1">
        <v>154.5</v>
      </c>
      <c r="X258">
        <v>141.4</v>
      </c>
      <c r="Y258">
        <v>140.80000000000001</v>
      </c>
      <c r="Z258">
        <v>145</v>
      </c>
      <c r="AA258">
        <v>124.6</v>
      </c>
      <c r="AB258">
        <v>137.9</v>
      </c>
      <c r="AC258">
        <v>152.5</v>
      </c>
      <c r="AD258">
        <v>145.30000000000001</v>
      </c>
      <c r="AE258">
        <v>138.69999999999999</v>
      </c>
      <c r="AF258">
        <v>147.30000000000001</v>
      </c>
      <c r="AG258" s="2">
        <f>AVERAGE(All_India_Index_Upto_April23[[#This Row],[Food]:[General index]])</f>
        <v>214.23928571428573</v>
      </c>
      <c r="AH258" s="7">
        <f>DATE(All_India_Index_Upto_April23[[#This Row],[Year]],MONTH(1&amp;TRIM(All_India_Index_Upto_April23[[#This Row],[Month]])),1)</f>
        <v>43891</v>
      </c>
    </row>
    <row r="259" spans="1:34" x14ac:dyDescent="0.3">
      <c r="A259">
        <v>258</v>
      </c>
      <c r="B259" s="1" t="s">
        <v>34</v>
      </c>
      <c r="C259">
        <v>2020</v>
      </c>
      <c r="D259" s="1" t="s">
        <v>36</v>
      </c>
      <c r="E259" s="2">
        <v>2066.6</v>
      </c>
      <c r="F259">
        <v>145.1</v>
      </c>
      <c r="G259">
        <v>167</v>
      </c>
      <c r="H259">
        <v>148.1</v>
      </c>
      <c r="I259">
        <v>151.5</v>
      </c>
      <c r="J259">
        <v>131.19999999999999</v>
      </c>
      <c r="K259">
        <v>142.5</v>
      </c>
      <c r="L259">
        <v>157.30000000000001</v>
      </c>
      <c r="M259">
        <v>141.1</v>
      </c>
      <c r="N259">
        <v>113.2</v>
      </c>
      <c r="O259">
        <v>153.19999999999999</v>
      </c>
      <c r="P259">
        <v>136.69999999999999</v>
      </c>
      <c r="Q259">
        <v>159.6</v>
      </c>
      <c r="R259">
        <v>148.9</v>
      </c>
      <c r="S259">
        <v>171.2</v>
      </c>
      <c r="T259">
        <v>151.19999999999999</v>
      </c>
      <c r="U259">
        <v>141.9</v>
      </c>
      <c r="V259">
        <v>149.80000000000001</v>
      </c>
      <c r="W259" s="1">
        <v>154.5</v>
      </c>
      <c r="X259">
        <v>148.9</v>
      </c>
      <c r="Y259">
        <v>146.4</v>
      </c>
      <c r="Z259">
        <v>152.30000000000001</v>
      </c>
      <c r="AA259">
        <v>129.9</v>
      </c>
      <c r="AB259">
        <v>143.69999999999999</v>
      </c>
      <c r="AC259">
        <v>156.1</v>
      </c>
      <c r="AD259">
        <v>145.19999999999999</v>
      </c>
      <c r="AE259">
        <v>143.80000000000001</v>
      </c>
      <c r="AF259">
        <v>148.6</v>
      </c>
      <c r="AG259" s="2">
        <f>AVERAGE(All_India_Index_Upto_April23[[#This Row],[Food]:[General index]])</f>
        <v>215.91071428571422</v>
      </c>
      <c r="AH259" s="7">
        <f>DATE(All_India_Index_Upto_April23[[#This Row],[Year]],MONTH(1&amp;TRIM(All_India_Index_Upto_April23[[#This Row],[Month]])),1)</f>
        <v>43891</v>
      </c>
    </row>
    <row r="260" spans="1:34" x14ac:dyDescent="0.3">
      <c r="A260">
        <v>259</v>
      </c>
      <c r="B260" s="1" t="s">
        <v>18</v>
      </c>
      <c r="C260">
        <v>2020</v>
      </c>
      <c r="D260" s="1" t="s">
        <v>39</v>
      </c>
      <c r="E260" s="2">
        <v>2133.4</v>
      </c>
      <c r="F260">
        <v>148.19999999999999</v>
      </c>
      <c r="G260">
        <v>190.3</v>
      </c>
      <c r="H260">
        <v>149.4</v>
      </c>
      <c r="I260">
        <v>153.30000000000001</v>
      </c>
      <c r="J260">
        <v>138.19999999999999</v>
      </c>
      <c r="K260">
        <v>143.19999999999999</v>
      </c>
      <c r="L260">
        <v>148.9</v>
      </c>
      <c r="M260">
        <v>150.30000000000001</v>
      </c>
      <c r="N260">
        <v>113.2</v>
      </c>
      <c r="O260">
        <v>159.80000000000001</v>
      </c>
      <c r="P260">
        <v>142.1</v>
      </c>
      <c r="Q260">
        <v>161.80000000000001</v>
      </c>
      <c r="R260">
        <v>152.30000000000001</v>
      </c>
      <c r="S260">
        <v>182.4</v>
      </c>
      <c r="T260">
        <v>154.69999999999999</v>
      </c>
      <c r="U260">
        <v>150</v>
      </c>
      <c r="V260">
        <v>154.1</v>
      </c>
      <c r="W260" s="1">
        <v>139.12</v>
      </c>
      <c r="X260">
        <v>144.9</v>
      </c>
      <c r="Y260">
        <v>151.69999999999999</v>
      </c>
      <c r="Z260">
        <v>158.19999999999999</v>
      </c>
      <c r="AA260">
        <v>141.4</v>
      </c>
      <c r="AB260">
        <v>153.19999999999999</v>
      </c>
      <c r="AC260">
        <v>161.80000000000001</v>
      </c>
      <c r="AD260">
        <v>151.19999999999999</v>
      </c>
      <c r="AE260">
        <v>151.69999999999999</v>
      </c>
      <c r="AF260">
        <v>152.69999999999999</v>
      </c>
      <c r="AG260" s="2">
        <f>AVERAGE(All_India_Index_Upto_April23[[#This Row],[Food]:[General index]])</f>
        <v>222.55428571428567</v>
      </c>
      <c r="AH260" s="7">
        <f>DATE(All_India_Index_Upto_April23[[#This Row],[Year]],MONTH(1&amp;TRIM(All_India_Index_Upto_April23[[#This Row],[Month]])),1)</f>
        <v>43983</v>
      </c>
    </row>
    <row r="261" spans="1:34" x14ac:dyDescent="0.3">
      <c r="A261">
        <v>260</v>
      </c>
      <c r="B261" s="1" t="s">
        <v>33</v>
      </c>
      <c r="C261">
        <v>2020</v>
      </c>
      <c r="D261" s="1" t="s">
        <v>39</v>
      </c>
      <c r="E261" s="2">
        <v>2181.6999999999998</v>
      </c>
      <c r="F261">
        <v>152.69999999999999</v>
      </c>
      <c r="G261">
        <v>197</v>
      </c>
      <c r="H261">
        <v>154.6</v>
      </c>
      <c r="I261">
        <v>153.4</v>
      </c>
      <c r="J261">
        <v>132.9</v>
      </c>
      <c r="K261">
        <v>151.80000000000001</v>
      </c>
      <c r="L261">
        <v>171.2</v>
      </c>
      <c r="M261">
        <v>152</v>
      </c>
      <c r="N261">
        <v>116.3</v>
      </c>
      <c r="O261">
        <v>158.80000000000001</v>
      </c>
      <c r="P261">
        <v>135.6</v>
      </c>
      <c r="Q261">
        <v>161.69999999999999</v>
      </c>
      <c r="R261">
        <v>157</v>
      </c>
      <c r="S261">
        <v>186.7</v>
      </c>
      <c r="T261">
        <v>149.1</v>
      </c>
      <c r="U261">
        <v>136.6</v>
      </c>
      <c r="V261">
        <v>147.19999999999999</v>
      </c>
      <c r="W261" s="1">
        <v>154.69999999999999</v>
      </c>
      <c r="X261">
        <v>137.1</v>
      </c>
      <c r="Y261">
        <v>140.4</v>
      </c>
      <c r="Z261">
        <v>148.1</v>
      </c>
      <c r="AA261">
        <v>129.30000000000001</v>
      </c>
      <c r="AB261">
        <v>144.5</v>
      </c>
      <c r="AC261">
        <v>152.5</v>
      </c>
      <c r="AD261">
        <v>152.19999999999999</v>
      </c>
      <c r="AE261">
        <v>142</v>
      </c>
      <c r="AF261">
        <v>150.80000000000001</v>
      </c>
      <c r="AG261" s="2">
        <f>AVERAGE(All_India_Index_Upto_April23[[#This Row],[Food]:[General index]])</f>
        <v>223.13928571428573</v>
      </c>
      <c r="AH261" s="7">
        <f>DATE(All_India_Index_Upto_April23[[#This Row],[Year]],MONTH(1&amp;TRIM(All_India_Index_Upto_April23[[#This Row],[Month]])),1)</f>
        <v>43983</v>
      </c>
    </row>
    <row r="262" spans="1:34" x14ac:dyDescent="0.3">
      <c r="A262">
        <v>261</v>
      </c>
      <c r="B262" s="1" t="s">
        <v>34</v>
      </c>
      <c r="C262">
        <v>2020</v>
      </c>
      <c r="D262" s="1" t="s">
        <v>39</v>
      </c>
      <c r="E262" s="2">
        <v>2150.3000000000002</v>
      </c>
      <c r="F262">
        <v>149.6</v>
      </c>
      <c r="G262">
        <v>192.7</v>
      </c>
      <c r="H262">
        <v>151.4</v>
      </c>
      <c r="I262">
        <v>153.30000000000001</v>
      </c>
      <c r="J262">
        <v>136.30000000000001</v>
      </c>
      <c r="K262">
        <v>147.19999999999999</v>
      </c>
      <c r="L262">
        <v>156.5</v>
      </c>
      <c r="M262">
        <v>150.9</v>
      </c>
      <c r="N262">
        <v>114.2</v>
      </c>
      <c r="O262">
        <v>159.5</v>
      </c>
      <c r="P262">
        <v>139.4</v>
      </c>
      <c r="Q262">
        <v>161.80000000000001</v>
      </c>
      <c r="R262">
        <v>154</v>
      </c>
      <c r="S262">
        <v>183.5</v>
      </c>
      <c r="T262">
        <v>152.5</v>
      </c>
      <c r="U262">
        <v>144.4</v>
      </c>
      <c r="V262">
        <v>151.4</v>
      </c>
      <c r="W262" s="1">
        <v>154.69999999999999</v>
      </c>
      <c r="X262">
        <v>141.9</v>
      </c>
      <c r="Y262">
        <v>146.4</v>
      </c>
      <c r="Z262">
        <v>154.4</v>
      </c>
      <c r="AA262">
        <v>135</v>
      </c>
      <c r="AB262">
        <v>148.30000000000001</v>
      </c>
      <c r="AC262">
        <v>156.4</v>
      </c>
      <c r="AD262">
        <v>151.6</v>
      </c>
      <c r="AE262">
        <v>147</v>
      </c>
      <c r="AF262">
        <v>151.80000000000001</v>
      </c>
      <c r="AG262" s="2">
        <f>AVERAGE(All_India_Index_Upto_April23[[#This Row],[Food]:[General index]])</f>
        <v>222.72857142857137</v>
      </c>
      <c r="AH262" s="7">
        <f>DATE(All_India_Index_Upto_April23[[#This Row],[Year]],MONTH(1&amp;TRIM(All_India_Index_Upto_April23[[#This Row],[Month]])),1)</f>
        <v>43983</v>
      </c>
    </row>
    <row r="263" spans="1:34" x14ac:dyDescent="0.3">
      <c r="A263">
        <v>262</v>
      </c>
      <c r="B263" s="1" t="s">
        <v>18</v>
      </c>
      <c r="C263">
        <v>2020</v>
      </c>
      <c r="D263" s="1" t="s">
        <v>40</v>
      </c>
      <c r="E263" s="2">
        <v>2133.4</v>
      </c>
      <c r="F263">
        <v>148.19999999999999</v>
      </c>
      <c r="G263">
        <v>190.3</v>
      </c>
      <c r="H263">
        <v>149.4</v>
      </c>
      <c r="I263">
        <v>153.30000000000001</v>
      </c>
      <c r="J263">
        <v>138.19999999999999</v>
      </c>
      <c r="K263">
        <v>143.19999999999999</v>
      </c>
      <c r="L263">
        <v>148.9</v>
      </c>
      <c r="M263">
        <v>150.30000000000001</v>
      </c>
      <c r="N263">
        <v>113.2</v>
      </c>
      <c r="O263">
        <v>159.80000000000001</v>
      </c>
      <c r="P263">
        <v>142.1</v>
      </c>
      <c r="Q263">
        <v>161.80000000000001</v>
      </c>
      <c r="R263">
        <v>152.30000000000001</v>
      </c>
      <c r="S263">
        <v>182.4</v>
      </c>
      <c r="T263">
        <v>154.69999999999999</v>
      </c>
      <c r="U263">
        <v>150</v>
      </c>
      <c r="V263">
        <v>154.1</v>
      </c>
      <c r="W263" s="1">
        <v>139.12</v>
      </c>
      <c r="X263">
        <v>144.9</v>
      </c>
      <c r="Y263">
        <v>151.69999999999999</v>
      </c>
      <c r="Z263">
        <v>158.19999999999999</v>
      </c>
      <c r="AA263">
        <v>141.4</v>
      </c>
      <c r="AB263">
        <v>153.19999999999999</v>
      </c>
      <c r="AC263">
        <v>161.80000000000001</v>
      </c>
      <c r="AD263">
        <v>151.19999999999999</v>
      </c>
      <c r="AE263">
        <v>151.69999999999999</v>
      </c>
      <c r="AF263">
        <v>152.69999999999999</v>
      </c>
      <c r="AG263" s="2">
        <f>AVERAGE(All_India_Index_Upto_April23[[#This Row],[Food]:[General index]])</f>
        <v>222.55428571428567</v>
      </c>
      <c r="AH263" s="7">
        <f>DATE(All_India_Index_Upto_April23[[#This Row],[Year]],MONTH(1&amp;TRIM(All_India_Index_Upto_April23[[#This Row],[Month]])),1)</f>
        <v>44013</v>
      </c>
    </row>
    <row r="264" spans="1:34" x14ac:dyDescent="0.3">
      <c r="A264">
        <v>263</v>
      </c>
      <c r="B264" s="1" t="s">
        <v>33</v>
      </c>
      <c r="C264">
        <v>2020</v>
      </c>
      <c r="D264" s="1" t="s">
        <v>40</v>
      </c>
      <c r="E264" s="2">
        <v>2181.6999999999998</v>
      </c>
      <c r="F264">
        <v>152.69999999999999</v>
      </c>
      <c r="G264">
        <v>197</v>
      </c>
      <c r="H264">
        <v>154.6</v>
      </c>
      <c r="I264">
        <v>153.4</v>
      </c>
      <c r="J264">
        <v>132.9</v>
      </c>
      <c r="K264">
        <v>151.80000000000001</v>
      </c>
      <c r="L264">
        <v>171.2</v>
      </c>
      <c r="M264">
        <v>152</v>
      </c>
      <c r="N264">
        <v>116.3</v>
      </c>
      <c r="O264">
        <v>158.80000000000001</v>
      </c>
      <c r="P264">
        <v>135.6</v>
      </c>
      <c r="Q264">
        <v>161.69999999999999</v>
      </c>
      <c r="R264">
        <v>157</v>
      </c>
      <c r="S264">
        <v>186.7</v>
      </c>
      <c r="T264">
        <v>149.1</v>
      </c>
      <c r="U264">
        <v>136.6</v>
      </c>
      <c r="V264">
        <v>147.19999999999999</v>
      </c>
      <c r="W264" s="1">
        <v>154.69999999999999</v>
      </c>
      <c r="X264">
        <v>137.1</v>
      </c>
      <c r="Y264">
        <v>140.4</v>
      </c>
      <c r="Z264">
        <v>148.1</v>
      </c>
      <c r="AA264">
        <v>129.30000000000001</v>
      </c>
      <c r="AB264">
        <v>144.5</v>
      </c>
      <c r="AC264">
        <v>152.5</v>
      </c>
      <c r="AD264">
        <v>152.19999999999999</v>
      </c>
      <c r="AE264">
        <v>142</v>
      </c>
      <c r="AF264">
        <v>150.80000000000001</v>
      </c>
      <c r="AG264" s="2">
        <f>AVERAGE(All_India_Index_Upto_April23[[#This Row],[Food]:[General index]])</f>
        <v>223.13928571428573</v>
      </c>
      <c r="AH264" s="7">
        <f>DATE(All_India_Index_Upto_April23[[#This Row],[Year]],MONTH(1&amp;TRIM(All_India_Index_Upto_April23[[#This Row],[Month]])),1)</f>
        <v>44013</v>
      </c>
    </row>
    <row r="265" spans="1:34" x14ac:dyDescent="0.3">
      <c r="A265">
        <v>264</v>
      </c>
      <c r="B265" s="1" t="s">
        <v>34</v>
      </c>
      <c r="C265">
        <v>2020</v>
      </c>
      <c r="D265" s="1" t="s">
        <v>40</v>
      </c>
      <c r="E265" s="2">
        <v>2150.3000000000002</v>
      </c>
      <c r="F265">
        <v>149.6</v>
      </c>
      <c r="G265">
        <v>192.7</v>
      </c>
      <c r="H265">
        <v>151.4</v>
      </c>
      <c r="I265">
        <v>153.30000000000001</v>
      </c>
      <c r="J265">
        <v>136.30000000000001</v>
      </c>
      <c r="K265">
        <v>147.19999999999999</v>
      </c>
      <c r="L265">
        <v>156.5</v>
      </c>
      <c r="M265">
        <v>150.9</v>
      </c>
      <c r="N265">
        <v>114.2</v>
      </c>
      <c r="O265">
        <v>159.5</v>
      </c>
      <c r="P265">
        <v>139.4</v>
      </c>
      <c r="Q265">
        <v>161.80000000000001</v>
      </c>
      <c r="R265">
        <v>154</v>
      </c>
      <c r="S265">
        <v>183.5</v>
      </c>
      <c r="T265">
        <v>152.5</v>
      </c>
      <c r="U265">
        <v>144.4</v>
      </c>
      <c r="V265">
        <v>151.4</v>
      </c>
      <c r="W265" s="1">
        <v>154.69999999999999</v>
      </c>
      <c r="X265">
        <v>141.9</v>
      </c>
      <c r="Y265">
        <v>146.4</v>
      </c>
      <c r="Z265">
        <v>154.4</v>
      </c>
      <c r="AA265">
        <v>135</v>
      </c>
      <c r="AB265">
        <v>148.30000000000001</v>
      </c>
      <c r="AC265">
        <v>156.4</v>
      </c>
      <c r="AD265">
        <v>151.6</v>
      </c>
      <c r="AE265">
        <v>147</v>
      </c>
      <c r="AF265">
        <v>151.80000000000001</v>
      </c>
      <c r="AG265" s="2">
        <f>AVERAGE(All_India_Index_Upto_April23[[#This Row],[Food]:[General index]])</f>
        <v>222.72857142857137</v>
      </c>
      <c r="AH265" s="7">
        <f>DATE(All_India_Index_Upto_April23[[#This Row],[Year]],MONTH(1&amp;TRIM(All_India_Index_Upto_April23[[#This Row],[Month]])),1)</f>
        <v>44013</v>
      </c>
    </row>
    <row r="266" spans="1:34" x14ac:dyDescent="0.3">
      <c r="A266">
        <v>265</v>
      </c>
      <c r="B266" s="1" t="s">
        <v>18</v>
      </c>
      <c r="C266">
        <v>2020</v>
      </c>
      <c r="D266" s="1" t="s">
        <v>41</v>
      </c>
      <c r="E266" s="2">
        <v>2159.5</v>
      </c>
      <c r="F266">
        <v>147.6</v>
      </c>
      <c r="G266">
        <v>187.2</v>
      </c>
      <c r="H266">
        <v>148.4</v>
      </c>
      <c r="I266">
        <v>153.30000000000001</v>
      </c>
      <c r="J266">
        <v>139.80000000000001</v>
      </c>
      <c r="K266">
        <v>146.9</v>
      </c>
      <c r="L266">
        <v>171</v>
      </c>
      <c r="M266">
        <v>149.9</v>
      </c>
      <c r="N266">
        <v>114.2</v>
      </c>
      <c r="O266">
        <v>160</v>
      </c>
      <c r="P266">
        <v>143.5</v>
      </c>
      <c r="Q266">
        <v>161.5</v>
      </c>
      <c r="R266">
        <v>155.30000000000001</v>
      </c>
      <c r="S266">
        <v>180.9</v>
      </c>
      <c r="T266">
        <v>155.1</v>
      </c>
      <c r="U266">
        <v>149.30000000000001</v>
      </c>
      <c r="V266">
        <v>154.30000000000001</v>
      </c>
      <c r="W266" s="1">
        <v>139.12</v>
      </c>
      <c r="X266">
        <v>145.80000000000001</v>
      </c>
      <c r="Y266">
        <v>151.9</v>
      </c>
      <c r="Z266">
        <v>158.80000000000001</v>
      </c>
      <c r="AA266">
        <v>143.6</v>
      </c>
      <c r="AB266">
        <v>152.19999999999999</v>
      </c>
      <c r="AC266">
        <v>162.69999999999999</v>
      </c>
      <c r="AD266">
        <v>153.6</v>
      </c>
      <c r="AE266">
        <v>153</v>
      </c>
      <c r="AF266">
        <v>154.69999999999999</v>
      </c>
      <c r="AG266" s="2">
        <f>AVERAGE(All_India_Index_Upto_April23[[#This Row],[Food]:[General index]])</f>
        <v>224.75428571428574</v>
      </c>
      <c r="AH266" s="7">
        <f>DATE(All_India_Index_Upto_April23[[#This Row],[Year]],MONTH(1&amp;TRIM(All_India_Index_Upto_April23[[#This Row],[Month]])),1)</f>
        <v>44044</v>
      </c>
    </row>
    <row r="267" spans="1:34" x14ac:dyDescent="0.3">
      <c r="A267">
        <v>266</v>
      </c>
      <c r="B267" s="1" t="s">
        <v>33</v>
      </c>
      <c r="C267">
        <v>2020</v>
      </c>
      <c r="D267" s="1" t="s">
        <v>41</v>
      </c>
      <c r="E267" s="2">
        <v>2212.1</v>
      </c>
      <c r="F267">
        <v>151.6</v>
      </c>
      <c r="G267">
        <v>197.8</v>
      </c>
      <c r="H267">
        <v>154.5</v>
      </c>
      <c r="I267">
        <v>153.4</v>
      </c>
      <c r="J267">
        <v>133.4</v>
      </c>
      <c r="K267">
        <v>154.5</v>
      </c>
      <c r="L267">
        <v>191.9</v>
      </c>
      <c r="M267">
        <v>151.30000000000001</v>
      </c>
      <c r="N267">
        <v>116.8</v>
      </c>
      <c r="O267">
        <v>160</v>
      </c>
      <c r="P267">
        <v>136.5</v>
      </c>
      <c r="Q267">
        <v>163.30000000000001</v>
      </c>
      <c r="R267">
        <v>159.9</v>
      </c>
      <c r="S267">
        <v>187.2</v>
      </c>
      <c r="T267">
        <v>150</v>
      </c>
      <c r="U267">
        <v>135.19999999999999</v>
      </c>
      <c r="V267">
        <v>147.80000000000001</v>
      </c>
      <c r="W267" s="1">
        <v>155.5</v>
      </c>
      <c r="X267">
        <v>138.30000000000001</v>
      </c>
      <c r="Y267">
        <v>144.5</v>
      </c>
      <c r="Z267">
        <v>148.69999999999999</v>
      </c>
      <c r="AA267">
        <v>133.9</v>
      </c>
      <c r="AB267">
        <v>141.19999999999999</v>
      </c>
      <c r="AC267">
        <v>155.5</v>
      </c>
      <c r="AD267">
        <v>155.19999999999999</v>
      </c>
      <c r="AE267">
        <v>144.80000000000001</v>
      </c>
      <c r="AF267">
        <v>152.9</v>
      </c>
      <c r="AG267" s="2">
        <f>AVERAGE(All_India_Index_Upto_April23[[#This Row],[Food]:[General index]])</f>
        <v>225.9892857142857</v>
      </c>
      <c r="AH267" s="7">
        <f>DATE(All_India_Index_Upto_April23[[#This Row],[Year]],MONTH(1&amp;TRIM(All_India_Index_Upto_April23[[#This Row],[Month]])),1)</f>
        <v>44044</v>
      </c>
    </row>
    <row r="268" spans="1:34" x14ac:dyDescent="0.3">
      <c r="A268">
        <v>267</v>
      </c>
      <c r="B268" s="1" t="s">
        <v>34</v>
      </c>
      <c r="C268">
        <v>2020</v>
      </c>
      <c r="D268" s="1" t="s">
        <v>41</v>
      </c>
      <c r="E268" s="2">
        <v>2177.7999999999997</v>
      </c>
      <c r="F268">
        <v>148.9</v>
      </c>
      <c r="G268">
        <v>190.9</v>
      </c>
      <c r="H268">
        <v>150.80000000000001</v>
      </c>
      <c r="I268">
        <v>153.30000000000001</v>
      </c>
      <c r="J268">
        <v>137.4</v>
      </c>
      <c r="K268">
        <v>150.4</v>
      </c>
      <c r="L268">
        <v>178.1</v>
      </c>
      <c r="M268">
        <v>150.4</v>
      </c>
      <c r="N268">
        <v>115.1</v>
      </c>
      <c r="O268">
        <v>160</v>
      </c>
      <c r="P268">
        <v>140.6</v>
      </c>
      <c r="Q268">
        <v>162.30000000000001</v>
      </c>
      <c r="R268">
        <v>157</v>
      </c>
      <c r="S268">
        <v>182.6</v>
      </c>
      <c r="T268">
        <v>153.1</v>
      </c>
      <c r="U268">
        <v>143.4</v>
      </c>
      <c r="V268">
        <v>151.69999999999999</v>
      </c>
      <c r="W268" s="1">
        <v>155.5</v>
      </c>
      <c r="X268">
        <v>143</v>
      </c>
      <c r="Y268">
        <v>148.4</v>
      </c>
      <c r="Z268">
        <v>155</v>
      </c>
      <c r="AA268">
        <v>138.5</v>
      </c>
      <c r="AB268">
        <v>146</v>
      </c>
      <c r="AC268">
        <v>158.5</v>
      </c>
      <c r="AD268">
        <v>154.30000000000001</v>
      </c>
      <c r="AE268">
        <v>149</v>
      </c>
      <c r="AF268">
        <v>153.9</v>
      </c>
      <c r="AG268" s="2">
        <f>AVERAGE(All_India_Index_Upto_April23[[#This Row],[Food]:[General index]])</f>
        <v>225.21071428571426</v>
      </c>
      <c r="AH268" s="7">
        <f>DATE(All_India_Index_Upto_April23[[#This Row],[Year]],MONTH(1&amp;TRIM(All_India_Index_Upto_April23[[#This Row],[Month]])),1)</f>
        <v>44044</v>
      </c>
    </row>
    <row r="269" spans="1:34" x14ac:dyDescent="0.3">
      <c r="A269">
        <v>268</v>
      </c>
      <c r="B269" s="1" t="s">
        <v>18</v>
      </c>
      <c r="C269">
        <v>2020</v>
      </c>
      <c r="D269" s="1" t="s">
        <v>42</v>
      </c>
      <c r="E269" s="2">
        <v>2170.2999999999997</v>
      </c>
      <c r="F269">
        <v>146.9</v>
      </c>
      <c r="G269">
        <v>183.9</v>
      </c>
      <c r="H269">
        <v>149.5</v>
      </c>
      <c r="I269">
        <v>153.4</v>
      </c>
      <c r="J269">
        <v>140.4</v>
      </c>
      <c r="K269">
        <v>147</v>
      </c>
      <c r="L269">
        <v>178.8</v>
      </c>
      <c r="M269">
        <v>149.30000000000001</v>
      </c>
      <c r="N269">
        <v>115.1</v>
      </c>
      <c r="O269">
        <v>160</v>
      </c>
      <c r="P269">
        <v>145.4</v>
      </c>
      <c r="Q269">
        <v>161.6</v>
      </c>
      <c r="R269">
        <v>156.1</v>
      </c>
      <c r="S269">
        <v>182.9</v>
      </c>
      <c r="T269">
        <v>155.4</v>
      </c>
      <c r="U269">
        <v>149.9</v>
      </c>
      <c r="V269">
        <v>154.6</v>
      </c>
      <c r="W269" s="1">
        <v>139.12</v>
      </c>
      <c r="X269">
        <v>146.4</v>
      </c>
      <c r="Y269">
        <v>151.6</v>
      </c>
      <c r="Z269">
        <v>159.1</v>
      </c>
      <c r="AA269">
        <v>144.6</v>
      </c>
      <c r="AB269">
        <v>152.80000000000001</v>
      </c>
      <c r="AC269">
        <v>161.1</v>
      </c>
      <c r="AD269">
        <v>157.4</v>
      </c>
      <c r="AE269">
        <v>153.69999999999999</v>
      </c>
      <c r="AF269">
        <v>155.4</v>
      </c>
      <c r="AG269" s="2">
        <f>AVERAGE(All_India_Index_Upto_April23[[#This Row],[Food]:[General index]])</f>
        <v>225.77571428571429</v>
      </c>
      <c r="AH269" s="7">
        <f>DATE(All_India_Index_Upto_April23[[#This Row],[Year]],MONTH(1&amp;TRIM(All_India_Index_Upto_April23[[#This Row],[Month]])),1)</f>
        <v>44075</v>
      </c>
    </row>
    <row r="270" spans="1:34" x14ac:dyDescent="0.3">
      <c r="A270">
        <v>269</v>
      </c>
      <c r="B270" s="1" t="s">
        <v>33</v>
      </c>
      <c r="C270">
        <v>2020</v>
      </c>
      <c r="D270" s="1" t="s">
        <v>42</v>
      </c>
      <c r="E270" s="2">
        <v>2230.3000000000002</v>
      </c>
      <c r="F270">
        <v>151.5</v>
      </c>
      <c r="G270">
        <v>193.1</v>
      </c>
      <c r="H270">
        <v>157.30000000000001</v>
      </c>
      <c r="I270">
        <v>153.9</v>
      </c>
      <c r="J270">
        <v>134.4</v>
      </c>
      <c r="K270">
        <v>155.4</v>
      </c>
      <c r="L270">
        <v>202</v>
      </c>
      <c r="M270">
        <v>150.80000000000001</v>
      </c>
      <c r="N270">
        <v>118.9</v>
      </c>
      <c r="O270">
        <v>160.9</v>
      </c>
      <c r="P270">
        <v>137.69999999999999</v>
      </c>
      <c r="Q270">
        <v>164.4</v>
      </c>
      <c r="R270">
        <v>161.30000000000001</v>
      </c>
      <c r="S270">
        <v>188.7</v>
      </c>
      <c r="T270">
        <v>150.19999999999999</v>
      </c>
      <c r="U270">
        <v>136.30000000000001</v>
      </c>
      <c r="V270">
        <v>148.1</v>
      </c>
      <c r="W270" s="1">
        <v>156.30000000000001</v>
      </c>
      <c r="X270">
        <v>137.19999999999999</v>
      </c>
      <c r="Y270">
        <v>145.4</v>
      </c>
      <c r="Z270">
        <v>150</v>
      </c>
      <c r="AA270">
        <v>135.1</v>
      </c>
      <c r="AB270">
        <v>141.80000000000001</v>
      </c>
      <c r="AC270">
        <v>154.9</v>
      </c>
      <c r="AD270">
        <v>159.80000000000001</v>
      </c>
      <c r="AE270">
        <v>146</v>
      </c>
      <c r="AF270">
        <v>154</v>
      </c>
      <c r="AG270" s="2">
        <f>AVERAGE(All_India_Index_Upto_April23[[#This Row],[Food]:[General index]])</f>
        <v>227.70357142857145</v>
      </c>
      <c r="AH270" s="7">
        <f>DATE(All_India_Index_Upto_April23[[#This Row],[Year]],MONTH(1&amp;TRIM(All_India_Index_Upto_April23[[#This Row],[Month]])),1)</f>
        <v>44075</v>
      </c>
    </row>
    <row r="271" spans="1:34" x14ac:dyDescent="0.3">
      <c r="A271">
        <v>270</v>
      </c>
      <c r="B271" s="1" t="s">
        <v>34</v>
      </c>
      <c r="C271">
        <v>2020</v>
      </c>
      <c r="D271" s="1" t="s">
        <v>42</v>
      </c>
      <c r="E271" s="2">
        <v>2191.4</v>
      </c>
      <c r="F271">
        <v>148.4</v>
      </c>
      <c r="G271">
        <v>187.1</v>
      </c>
      <c r="H271">
        <v>152.5</v>
      </c>
      <c r="I271">
        <v>153.6</v>
      </c>
      <c r="J271">
        <v>138.19999999999999</v>
      </c>
      <c r="K271">
        <v>150.9</v>
      </c>
      <c r="L271">
        <v>186.7</v>
      </c>
      <c r="M271">
        <v>149.80000000000001</v>
      </c>
      <c r="N271">
        <v>116.4</v>
      </c>
      <c r="O271">
        <v>160.30000000000001</v>
      </c>
      <c r="P271">
        <v>142.19999999999999</v>
      </c>
      <c r="Q271">
        <v>162.9</v>
      </c>
      <c r="R271">
        <v>158</v>
      </c>
      <c r="S271">
        <v>184.4</v>
      </c>
      <c r="T271">
        <v>153.4</v>
      </c>
      <c r="U271">
        <v>144.30000000000001</v>
      </c>
      <c r="V271">
        <v>152</v>
      </c>
      <c r="W271" s="1">
        <v>156.30000000000001</v>
      </c>
      <c r="X271">
        <v>142.9</v>
      </c>
      <c r="Y271">
        <v>148.69999999999999</v>
      </c>
      <c r="Z271">
        <v>155.6</v>
      </c>
      <c r="AA271">
        <v>139.6</v>
      </c>
      <c r="AB271">
        <v>146.6</v>
      </c>
      <c r="AC271">
        <v>157.5</v>
      </c>
      <c r="AD271">
        <v>158.4</v>
      </c>
      <c r="AE271">
        <v>150</v>
      </c>
      <c r="AF271">
        <v>154.69999999999999</v>
      </c>
      <c r="AG271" s="2">
        <f>AVERAGE(All_India_Index_Upto_April23[[#This Row],[Food]:[General index]])</f>
        <v>226.52857142857141</v>
      </c>
      <c r="AH271" s="7">
        <f>DATE(All_India_Index_Upto_April23[[#This Row],[Year]],MONTH(1&amp;TRIM(All_India_Index_Upto_April23[[#This Row],[Month]])),1)</f>
        <v>44075</v>
      </c>
    </row>
    <row r="272" spans="1:34" x14ac:dyDescent="0.3">
      <c r="A272">
        <v>271</v>
      </c>
      <c r="B272" s="1" t="s">
        <v>18</v>
      </c>
      <c r="C272">
        <v>2020</v>
      </c>
      <c r="D272" s="1" t="s">
        <v>43</v>
      </c>
      <c r="E272" s="2">
        <v>2213.6</v>
      </c>
      <c r="F272">
        <v>146</v>
      </c>
      <c r="G272">
        <v>186.3</v>
      </c>
      <c r="H272">
        <v>159.19999999999999</v>
      </c>
      <c r="I272">
        <v>153.6</v>
      </c>
      <c r="J272">
        <v>142.6</v>
      </c>
      <c r="K272">
        <v>147.19999999999999</v>
      </c>
      <c r="L272">
        <v>200.6</v>
      </c>
      <c r="M272">
        <v>150.30000000000001</v>
      </c>
      <c r="N272">
        <v>115.3</v>
      </c>
      <c r="O272">
        <v>160.9</v>
      </c>
      <c r="P272">
        <v>147.4</v>
      </c>
      <c r="Q272">
        <v>161.9</v>
      </c>
      <c r="R272">
        <v>159.6</v>
      </c>
      <c r="S272">
        <v>182.7</v>
      </c>
      <c r="T272">
        <v>155.69999999999999</v>
      </c>
      <c r="U272">
        <v>150.6</v>
      </c>
      <c r="V272">
        <v>155</v>
      </c>
      <c r="W272" s="1">
        <v>139.12</v>
      </c>
      <c r="X272">
        <v>146.80000000000001</v>
      </c>
      <c r="Y272">
        <v>152</v>
      </c>
      <c r="Z272">
        <v>159.5</v>
      </c>
      <c r="AA272">
        <v>146.4</v>
      </c>
      <c r="AB272">
        <v>152.4</v>
      </c>
      <c r="AC272">
        <v>162.5</v>
      </c>
      <c r="AD272">
        <v>156.19999999999999</v>
      </c>
      <c r="AE272">
        <v>154.30000000000001</v>
      </c>
      <c r="AF272">
        <v>157.5</v>
      </c>
      <c r="AG272" s="2">
        <f>AVERAGE(All_India_Index_Upto_April23[[#This Row],[Food]:[General index]])</f>
        <v>229.11499999999998</v>
      </c>
      <c r="AH272" s="7">
        <f>DATE(All_India_Index_Upto_April23[[#This Row],[Year]],MONTH(1&amp;TRIM(All_India_Index_Upto_April23[[#This Row],[Month]])),1)</f>
        <v>44105</v>
      </c>
    </row>
    <row r="273" spans="1:34" x14ac:dyDescent="0.3">
      <c r="A273">
        <v>272</v>
      </c>
      <c r="B273" s="1" t="s">
        <v>33</v>
      </c>
      <c r="C273">
        <v>2020</v>
      </c>
      <c r="D273" s="1" t="s">
        <v>43</v>
      </c>
      <c r="E273" s="2">
        <v>2268.8999999999996</v>
      </c>
      <c r="F273">
        <v>150.6</v>
      </c>
      <c r="G273">
        <v>193.7</v>
      </c>
      <c r="H273">
        <v>164.8</v>
      </c>
      <c r="I273">
        <v>153.69999999999999</v>
      </c>
      <c r="J273">
        <v>135.69999999999999</v>
      </c>
      <c r="K273">
        <v>155.69999999999999</v>
      </c>
      <c r="L273">
        <v>226</v>
      </c>
      <c r="M273">
        <v>152.19999999999999</v>
      </c>
      <c r="N273">
        <v>118.1</v>
      </c>
      <c r="O273">
        <v>161.30000000000001</v>
      </c>
      <c r="P273">
        <v>139.19999999999999</v>
      </c>
      <c r="Q273">
        <v>164.8</v>
      </c>
      <c r="R273">
        <v>164.4</v>
      </c>
      <c r="S273">
        <v>188.7</v>
      </c>
      <c r="T273">
        <v>150.5</v>
      </c>
      <c r="U273">
        <v>136.1</v>
      </c>
      <c r="V273">
        <v>148.30000000000001</v>
      </c>
      <c r="W273" s="1">
        <v>156.5</v>
      </c>
      <c r="X273">
        <v>137.1</v>
      </c>
      <c r="Y273">
        <v>145.1</v>
      </c>
      <c r="Z273">
        <v>151</v>
      </c>
      <c r="AA273">
        <v>135.4</v>
      </c>
      <c r="AB273">
        <v>142</v>
      </c>
      <c r="AC273">
        <v>155.69999999999999</v>
      </c>
      <c r="AD273">
        <v>158.1</v>
      </c>
      <c r="AE273">
        <v>146.19999999999999</v>
      </c>
      <c r="AF273">
        <v>155.19999999999999</v>
      </c>
      <c r="AG273" s="2">
        <f>AVERAGE(All_India_Index_Upto_April23[[#This Row],[Food]:[General index]])</f>
        <v>230.53571428571425</v>
      </c>
      <c r="AH273" s="7">
        <f>DATE(All_India_Index_Upto_April23[[#This Row],[Year]],MONTH(1&amp;TRIM(All_India_Index_Upto_April23[[#This Row],[Month]])),1)</f>
        <v>44105</v>
      </c>
    </row>
    <row r="274" spans="1:34" x14ac:dyDescent="0.3">
      <c r="A274">
        <v>273</v>
      </c>
      <c r="B274" s="1" t="s">
        <v>34</v>
      </c>
      <c r="C274">
        <v>2020</v>
      </c>
      <c r="D274" s="1" t="s">
        <v>43</v>
      </c>
      <c r="E274" s="2">
        <v>2232.9000000000005</v>
      </c>
      <c r="F274">
        <v>147.5</v>
      </c>
      <c r="G274">
        <v>188.9</v>
      </c>
      <c r="H274">
        <v>161.4</v>
      </c>
      <c r="I274">
        <v>153.6</v>
      </c>
      <c r="J274">
        <v>140.1</v>
      </c>
      <c r="K274">
        <v>151.19999999999999</v>
      </c>
      <c r="L274">
        <v>209.2</v>
      </c>
      <c r="M274">
        <v>150.9</v>
      </c>
      <c r="N274">
        <v>116.2</v>
      </c>
      <c r="O274">
        <v>161</v>
      </c>
      <c r="P274">
        <v>144</v>
      </c>
      <c r="Q274">
        <v>163.19999999999999</v>
      </c>
      <c r="R274">
        <v>161.4</v>
      </c>
      <c r="S274">
        <v>184.3</v>
      </c>
      <c r="T274">
        <v>153.69999999999999</v>
      </c>
      <c r="U274">
        <v>144.6</v>
      </c>
      <c r="V274">
        <v>152.30000000000001</v>
      </c>
      <c r="W274" s="1">
        <v>156.5</v>
      </c>
      <c r="X274">
        <v>143.1</v>
      </c>
      <c r="Y274">
        <v>148.69999999999999</v>
      </c>
      <c r="Z274">
        <v>156.30000000000001</v>
      </c>
      <c r="AA274">
        <v>140.6</v>
      </c>
      <c r="AB274">
        <v>146.5</v>
      </c>
      <c r="AC274">
        <v>158.5</v>
      </c>
      <c r="AD274">
        <v>157</v>
      </c>
      <c r="AE274">
        <v>150.4</v>
      </c>
      <c r="AF274">
        <v>156.4</v>
      </c>
      <c r="AG274" s="2">
        <f>AVERAGE(All_India_Index_Upto_April23[[#This Row],[Food]:[General index]])</f>
        <v>229.65714285714287</v>
      </c>
      <c r="AH274" s="7">
        <f>DATE(All_India_Index_Upto_April23[[#This Row],[Year]],MONTH(1&amp;TRIM(All_India_Index_Upto_April23[[#This Row],[Month]])),1)</f>
        <v>44105</v>
      </c>
    </row>
    <row r="275" spans="1:34" x14ac:dyDescent="0.3">
      <c r="A275">
        <v>274</v>
      </c>
      <c r="B275" s="1" t="s">
        <v>18</v>
      </c>
      <c r="C275">
        <v>2020</v>
      </c>
      <c r="D275" s="1" t="s">
        <v>45</v>
      </c>
      <c r="E275" s="2">
        <v>2265.8000000000002</v>
      </c>
      <c r="F275">
        <v>145.4</v>
      </c>
      <c r="G275">
        <v>188.6</v>
      </c>
      <c r="H275">
        <v>171.6</v>
      </c>
      <c r="I275">
        <v>153.80000000000001</v>
      </c>
      <c r="J275">
        <v>145.4</v>
      </c>
      <c r="K275">
        <v>146.5</v>
      </c>
      <c r="L275">
        <v>222.2</v>
      </c>
      <c r="M275">
        <v>155.9</v>
      </c>
      <c r="N275">
        <v>114.9</v>
      </c>
      <c r="O275">
        <v>162</v>
      </c>
      <c r="P275">
        <v>150</v>
      </c>
      <c r="Q275">
        <v>162.69999999999999</v>
      </c>
      <c r="R275">
        <v>163.4</v>
      </c>
      <c r="S275">
        <v>183.4</v>
      </c>
      <c r="T275">
        <v>156.30000000000001</v>
      </c>
      <c r="U275">
        <v>151</v>
      </c>
      <c r="V275">
        <v>155.5</v>
      </c>
      <c r="W275" s="1">
        <v>139.12</v>
      </c>
      <c r="X275">
        <v>147.5</v>
      </c>
      <c r="Y275">
        <v>152.80000000000001</v>
      </c>
      <c r="Z275">
        <v>160.4</v>
      </c>
      <c r="AA275">
        <v>146.1</v>
      </c>
      <c r="AB275">
        <v>153.6</v>
      </c>
      <c r="AC275">
        <v>161.6</v>
      </c>
      <c r="AD275">
        <v>156.19999999999999</v>
      </c>
      <c r="AE275">
        <v>154.5</v>
      </c>
      <c r="AF275">
        <v>159.80000000000001</v>
      </c>
      <c r="AG275" s="2">
        <f>AVERAGE(All_India_Index_Upto_April23[[#This Row],[Food]:[General index]])</f>
        <v>233.07214285714286</v>
      </c>
      <c r="AH275" s="7">
        <f>DATE(All_India_Index_Upto_April23[[#This Row],[Year]],MONTH(1&amp;TRIM(All_India_Index_Upto_April23[[#This Row],[Month]])),1)</f>
        <v>44136</v>
      </c>
    </row>
    <row r="276" spans="1:34" x14ac:dyDescent="0.3">
      <c r="A276">
        <v>275</v>
      </c>
      <c r="B276" s="1" t="s">
        <v>33</v>
      </c>
      <c r="C276">
        <v>2020</v>
      </c>
      <c r="D276" s="1" t="s">
        <v>45</v>
      </c>
      <c r="E276" s="2">
        <v>2309.5</v>
      </c>
      <c r="F276">
        <v>149.69999999999999</v>
      </c>
      <c r="G276">
        <v>195.5</v>
      </c>
      <c r="H276">
        <v>176.9</v>
      </c>
      <c r="I276">
        <v>153.9</v>
      </c>
      <c r="J276">
        <v>138</v>
      </c>
      <c r="K276">
        <v>150.5</v>
      </c>
      <c r="L276">
        <v>245.3</v>
      </c>
      <c r="M276">
        <v>158.69999999999999</v>
      </c>
      <c r="N276">
        <v>117.2</v>
      </c>
      <c r="O276">
        <v>161.4</v>
      </c>
      <c r="P276">
        <v>141.5</v>
      </c>
      <c r="Q276">
        <v>165.1</v>
      </c>
      <c r="R276">
        <v>167</v>
      </c>
      <c r="S276">
        <v>188.8</v>
      </c>
      <c r="T276">
        <v>151.1</v>
      </c>
      <c r="U276">
        <v>136.4</v>
      </c>
      <c r="V276">
        <v>148.80000000000001</v>
      </c>
      <c r="W276" s="1">
        <v>158</v>
      </c>
      <c r="X276">
        <v>137.30000000000001</v>
      </c>
      <c r="Y276">
        <v>145.1</v>
      </c>
      <c r="Z276">
        <v>152</v>
      </c>
      <c r="AA276">
        <v>135.19999999999999</v>
      </c>
      <c r="AB276">
        <v>144.4</v>
      </c>
      <c r="AC276">
        <v>156.4</v>
      </c>
      <c r="AD276">
        <v>157.9</v>
      </c>
      <c r="AE276">
        <v>146.6</v>
      </c>
      <c r="AF276">
        <v>156.69999999999999</v>
      </c>
      <c r="AG276" s="2">
        <f>AVERAGE(All_India_Index_Upto_April23[[#This Row],[Food]:[General index]])</f>
        <v>233.74642857142859</v>
      </c>
      <c r="AH276" s="7">
        <f>DATE(All_India_Index_Upto_April23[[#This Row],[Year]],MONTH(1&amp;TRIM(All_India_Index_Upto_April23[[#This Row],[Month]])),1)</f>
        <v>44136</v>
      </c>
    </row>
    <row r="277" spans="1:34" x14ac:dyDescent="0.3">
      <c r="A277">
        <v>276</v>
      </c>
      <c r="B277" s="1" t="s">
        <v>34</v>
      </c>
      <c r="C277">
        <v>2020</v>
      </c>
      <c r="D277" s="1" t="s">
        <v>45</v>
      </c>
      <c r="E277" s="2">
        <v>2280.4</v>
      </c>
      <c r="F277">
        <v>146.80000000000001</v>
      </c>
      <c r="G277">
        <v>191</v>
      </c>
      <c r="H277">
        <v>173.6</v>
      </c>
      <c r="I277">
        <v>153.80000000000001</v>
      </c>
      <c r="J277">
        <v>142.69999999999999</v>
      </c>
      <c r="K277">
        <v>148.4</v>
      </c>
      <c r="L277">
        <v>230</v>
      </c>
      <c r="M277">
        <v>156.80000000000001</v>
      </c>
      <c r="N277">
        <v>115.7</v>
      </c>
      <c r="O277">
        <v>161.80000000000001</v>
      </c>
      <c r="P277">
        <v>146.5</v>
      </c>
      <c r="Q277">
        <v>163.80000000000001</v>
      </c>
      <c r="R277">
        <v>164.7</v>
      </c>
      <c r="S277">
        <v>184.8</v>
      </c>
      <c r="T277">
        <v>154.30000000000001</v>
      </c>
      <c r="U277">
        <v>144.9</v>
      </c>
      <c r="V277">
        <v>152.80000000000001</v>
      </c>
      <c r="W277" s="1">
        <v>158</v>
      </c>
      <c r="X277">
        <v>143.6</v>
      </c>
      <c r="Y277">
        <v>149.19999999999999</v>
      </c>
      <c r="Z277">
        <v>157.19999999999999</v>
      </c>
      <c r="AA277">
        <v>140.4</v>
      </c>
      <c r="AB277">
        <v>148.4</v>
      </c>
      <c r="AC277">
        <v>158.6</v>
      </c>
      <c r="AD277">
        <v>156.9</v>
      </c>
      <c r="AE277">
        <v>150.69999999999999</v>
      </c>
      <c r="AF277">
        <v>158.4</v>
      </c>
      <c r="AG277" s="2">
        <f>AVERAGE(All_India_Index_Upto_April23[[#This Row],[Food]:[General index]])</f>
        <v>233.36428571428567</v>
      </c>
      <c r="AH277" s="7">
        <f>DATE(All_India_Index_Upto_April23[[#This Row],[Year]],MONTH(1&amp;TRIM(All_India_Index_Upto_April23[[#This Row],[Month]])),1)</f>
        <v>44136</v>
      </c>
    </row>
    <row r="278" spans="1:34" x14ac:dyDescent="0.3">
      <c r="A278">
        <v>277</v>
      </c>
      <c r="B278" s="1" t="s">
        <v>18</v>
      </c>
      <c r="C278">
        <v>2020</v>
      </c>
      <c r="D278" s="1" t="s">
        <v>46</v>
      </c>
      <c r="E278" s="2">
        <v>2284.1</v>
      </c>
      <c r="F278">
        <v>144.6</v>
      </c>
      <c r="G278">
        <v>188.5</v>
      </c>
      <c r="H278">
        <v>173.4</v>
      </c>
      <c r="I278">
        <v>154</v>
      </c>
      <c r="J278">
        <v>150</v>
      </c>
      <c r="K278">
        <v>145.9</v>
      </c>
      <c r="L278">
        <v>225.2</v>
      </c>
      <c r="M278">
        <v>159.5</v>
      </c>
      <c r="N278">
        <v>114.4</v>
      </c>
      <c r="O278">
        <v>163.5</v>
      </c>
      <c r="P278">
        <v>153.4</v>
      </c>
      <c r="Q278">
        <v>163.6</v>
      </c>
      <c r="R278">
        <v>164.5</v>
      </c>
      <c r="S278">
        <v>183.6</v>
      </c>
      <c r="T278">
        <v>157</v>
      </c>
      <c r="U278">
        <v>151.6</v>
      </c>
      <c r="V278">
        <v>156.30000000000001</v>
      </c>
      <c r="W278" s="1">
        <v>139.12</v>
      </c>
      <c r="X278">
        <v>148.69999999999999</v>
      </c>
      <c r="Y278">
        <v>153.4</v>
      </c>
      <c r="Z278">
        <v>161.6</v>
      </c>
      <c r="AA278">
        <v>146.4</v>
      </c>
      <c r="AB278">
        <v>153.9</v>
      </c>
      <c r="AC278">
        <v>162.9</v>
      </c>
      <c r="AD278">
        <v>156.6</v>
      </c>
      <c r="AE278">
        <v>155.19999999999999</v>
      </c>
      <c r="AF278">
        <v>160.69999999999999</v>
      </c>
      <c r="AG278" s="2">
        <f>AVERAGE(All_India_Index_Upto_April23[[#This Row],[Food]:[General index]])</f>
        <v>234.70071428571427</v>
      </c>
      <c r="AH278" s="7">
        <f>DATE(All_India_Index_Upto_April23[[#This Row],[Year]],MONTH(1&amp;TRIM(All_India_Index_Upto_April23[[#This Row],[Month]])),1)</f>
        <v>44166</v>
      </c>
    </row>
    <row r="279" spans="1:34" x14ac:dyDescent="0.3">
      <c r="A279">
        <v>278</v>
      </c>
      <c r="B279" s="1" t="s">
        <v>33</v>
      </c>
      <c r="C279">
        <v>2020</v>
      </c>
      <c r="D279" s="1" t="s">
        <v>46</v>
      </c>
      <c r="E279" s="2">
        <v>2315.6</v>
      </c>
      <c r="F279">
        <v>149</v>
      </c>
      <c r="G279">
        <v>195.7</v>
      </c>
      <c r="H279">
        <v>178.3</v>
      </c>
      <c r="I279">
        <v>154.19999999999999</v>
      </c>
      <c r="J279">
        <v>140.69999999999999</v>
      </c>
      <c r="K279">
        <v>149.69999999999999</v>
      </c>
      <c r="L279">
        <v>240.9</v>
      </c>
      <c r="M279">
        <v>161.5</v>
      </c>
      <c r="N279">
        <v>117.1</v>
      </c>
      <c r="O279">
        <v>161.9</v>
      </c>
      <c r="P279">
        <v>143.30000000000001</v>
      </c>
      <c r="Q279">
        <v>166.1</v>
      </c>
      <c r="R279">
        <v>167</v>
      </c>
      <c r="S279">
        <v>190.2</v>
      </c>
      <c r="T279">
        <v>151.9</v>
      </c>
      <c r="U279">
        <v>136.69999999999999</v>
      </c>
      <c r="V279">
        <v>149.6</v>
      </c>
      <c r="W279" s="1">
        <v>158.4</v>
      </c>
      <c r="X279">
        <v>137.9</v>
      </c>
      <c r="Y279">
        <v>145.5</v>
      </c>
      <c r="Z279">
        <v>152.9</v>
      </c>
      <c r="AA279">
        <v>135.5</v>
      </c>
      <c r="AB279">
        <v>144.30000000000001</v>
      </c>
      <c r="AC279">
        <v>156.9</v>
      </c>
      <c r="AD279">
        <v>157.9</v>
      </c>
      <c r="AE279">
        <v>146.9</v>
      </c>
      <c r="AF279">
        <v>156.9</v>
      </c>
      <c r="AG279" s="2">
        <f>AVERAGE(All_India_Index_Upto_April23[[#This Row],[Food]:[General index]])</f>
        <v>234.37499999999991</v>
      </c>
      <c r="AH279" s="7">
        <f>DATE(All_India_Index_Upto_April23[[#This Row],[Year]],MONTH(1&amp;TRIM(All_India_Index_Upto_April23[[#This Row],[Month]])),1)</f>
        <v>44166</v>
      </c>
    </row>
    <row r="280" spans="1:34" x14ac:dyDescent="0.3">
      <c r="A280">
        <v>279</v>
      </c>
      <c r="B280" s="1" t="s">
        <v>34</v>
      </c>
      <c r="C280">
        <v>2020</v>
      </c>
      <c r="D280" s="1" t="s">
        <v>46</v>
      </c>
      <c r="E280" s="2">
        <v>2294.5</v>
      </c>
      <c r="F280">
        <v>146</v>
      </c>
      <c r="G280">
        <v>191</v>
      </c>
      <c r="H280">
        <v>175.3</v>
      </c>
      <c r="I280">
        <v>154.1</v>
      </c>
      <c r="J280">
        <v>146.6</v>
      </c>
      <c r="K280">
        <v>147.69999999999999</v>
      </c>
      <c r="L280">
        <v>230.5</v>
      </c>
      <c r="M280">
        <v>160.19999999999999</v>
      </c>
      <c r="N280">
        <v>115.3</v>
      </c>
      <c r="O280">
        <v>163</v>
      </c>
      <c r="P280">
        <v>149.19999999999999</v>
      </c>
      <c r="Q280">
        <v>164.8</v>
      </c>
      <c r="R280">
        <v>165.4</v>
      </c>
      <c r="S280">
        <v>185.4</v>
      </c>
      <c r="T280">
        <v>155</v>
      </c>
      <c r="U280">
        <v>145.4</v>
      </c>
      <c r="V280">
        <v>153.6</v>
      </c>
      <c r="W280" s="1">
        <v>158.4</v>
      </c>
      <c r="X280">
        <v>144.6</v>
      </c>
      <c r="Y280">
        <v>149.69999999999999</v>
      </c>
      <c r="Z280">
        <v>158.30000000000001</v>
      </c>
      <c r="AA280">
        <v>140.69999999999999</v>
      </c>
      <c r="AB280">
        <v>148.5</v>
      </c>
      <c r="AC280">
        <v>159.4</v>
      </c>
      <c r="AD280">
        <v>157.1</v>
      </c>
      <c r="AE280">
        <v>151.19999999999999</v>
      </c>
      <c r="AF280">
        <v>158.9</v>
      </c>
      <c r="AG280" s="2">
        <f>AVERAGE(All_India_Index_Upto_April23[[#This Row],[Food]:[General index]])</f>
        <v>234.63571428571422</v>
      </c>
      <c r="AH280" s="7">
        <f>DATE(All_India_Index_Upto_April23[[#This Row],[Year]],MONTH(1&amp;TRIM(All_India_Index_Upto_April23[[#This Row],[Month]])),1)</f>
        <v>44166</v>
      </c>
    </row>
    <row r="281" spans="1:34" x14ac:dyDescent="0.3">
      <c r="A281">
        <v>280</v>
      </c>
      <c r="B281" s="1" t="s">
        <v>18</v>
      </c>
      <c r="C281">
        <v>2021</v>
      </c>
      <c r="D281" s="1" t="s">
        <v>19</v>
      </c>
      <c r="E281" s="2">
        <v>2250.2999999999997</v>
      </c>
      <c r="F281">
        <v>143.4</v>
      </c>
      <c r="G281">
        <v>187.5</v>
      </c>
      <c r="H281">
        <v>173.4</v>
      </c>
      <c r="I281">
        <v>154</v>
      </c>
      <c r="J281">
        <v>154.80000000000001</v>
      </c>
      <c r="K281">
        <v>147</v>
      </c>
      <c r="L281">
        <v>187.8</v>
      </c>
      <c r="M281">
        <v>159.5</v>
      </c>
      <c r="N281">
        <v>113.8</v>
      </c>
      <c r="O281">
        <v>164.5</v>
      </c>
      <c r="P281">
        <v>156.1</v>
      </c>
      <c r="Q281">
        <v>164.3</v>
      </c>
      <c r="R281">
        <v>159.6</v>
      </c>
      <c r="S281">
        <v>184.6</v>
      </c>
      <c r="T281">
        <v>157.5</v>
      </c>
      <c r="U281">
        <v>152.4</v>
      </c>
      <c r="V281">
        <v>156.80000000000001</v>
      </c>
      <c r="W281" s="1">
        <v>139.12</v>
      </c>
      <c r="X281">
        <v>150.9</v>
      </c>
      <c r="Y281">
        <v>153.9</v>
      </c>
      <c r="Z281">
        <v>162.5</v>
      </c>
      <c r="AA281">
        <v>147.5</v>
      </c>
      <c r="AB281">
        <v>155.1</v>
      </c>
      <c r="AC281">
        <v>163.5</v>
      </c>
      <c r="AD281">
        <v>156.19999999999999</v>
      </c>
      <c r="AE281">
        <v>155.9</v>
      </c>
      <c r="AF281">
        <v>158.5</v>
      </c>
      <c r="AG281" s="2">
        <f>AVERAGE(All_India_Index_Upto_April23[[#This Row],[Food]:[General index]])</f>
        <v>232.51500000000001</v>
      </c>
      <c r="AH281" s="7">
        <f>DATE(All_India_Index_Upto_April23[[#This Row],[Year]],MONTH(1&amp;TRIM(All_India_Index_Upto_April23[[#This Row],[Month]])),1)</f>
        <v>44197</v>
      </c>
    </row>
    <row r="282" spans="1:34" x14ac:dyDescent="0.3">
      <c r="A282">
        <v>281</v>
      </c>
      <c r="B282" s="1" t="s">
        <v>33</v>
      </c>
      <c r="C282">
        <v>2021</v>
      </c>
      <c r="D282" s="1" t="s">
        <v>19</v>
      </c>
      <c r="E282" s="2">
        <v>2288.8000000000002</v>
      </c>
      <c r="F282">
        <v>148</v>
      </c>
      <c r="G282">
        <v>194.8</v>
      </c>
      <c r="H282">
        <v>178.4</v>
      </c>
      <c r="I282">
        <v>154.4</v>
      </c>
      <c r="J282">
        <v>144.1</v>
      </c>
      <c r="K282">
        <v>152.6</v>
      </c>
      <c r="L282">
        <v>206.8</v>
      </c>
      <c r="M282">
        <v>162.1</v>
      </c>
      <c r="N282">
        <v>116.3</v>
      </c>
      <c r="O282">
        <v>163</v>
      </c>
      <c r="P282">
        <v>145.9</v>
      </c>
      <c r="Q282">
        <v>167.2</v>
      </c>
      <c r="R282">
        <v>163.4</v>
      </c>
      <c r="S282">
        <v>191.8</v>
      </c>
      <c r="T282">
        <v>152.5</v>
      </c>
      <c r="U282">
        <v>137.30000000000001</v>
      </c>
      <c r="V282">
        <v>150.19999999999999</v>
      </c>
      <c r="W282" s="1">
        <v>157.69999999999999</v>
      </c>
      <c r="X282">
        <v>142.9</v>
      </c>
      <c r="Y282">
        <v>145.69999999999999</v>
      </c>
      <c r="Z282">
        <v>154.1</v>
      </c>
      <c r="AA282">
        <v>136.9</v>
      </c>
      <c r="AB282">
        <v>145.4</v>
      </c>
      <c r="AC282">
        <v>156.1</v>
      </c>
      <c r="AD282">
        <v>157.69999999999999</v>
      </c>
      <c r="AE282">
        <v>147.6</v>
      </c>
      <c r="AF282">
        <v>156</v>
      </c>
      <c r="AG282" s="2">
        <f>AVERAGE(All_India_Index_Upto_April23[[#This Row],[Food]:[General index]])</f>
        <v>232.77500000000001</v>
      </c>
      <c r="AH282" s="7">
        <f>DATE(All_India_Index_Upto_April23[[#This Row],[Year]],MONTH(1&amp;TRIM(All_India_Index_Upto_April23[[#This Row],[Month]])),1)</f>
        <v>44197</v>
      </c>
    </row>
    <row r="283" spans="1:34" x14ac:dyDescent="0.3">
      <c r="A283">
        <v>282</v>
      </c>
      <c r="B283" s="1" t="s">
        <v>34</v>
      </c>
      <c r="C283">
        <v>2021</v>
      </c>
      <c r="D283" s="1" t="s">
        <v>19</v>
      </c>
      <c r="E283" s="2">
        <v>2263</v>
      </c>
      <c r="F283">
        <v>144.9</v>
      </c>
      <c r="G283">
        <v>190.1</v>
      </c>
      <c r="H283">
        <v>175.3</v>
      </c>
      <c r="I283">
        <v>154.1</v>
      </c>
      <c r="J283">
        <v>150.9</v>
      </c>
      <c r="K283">
        <v>149.6</v>
      </c>
      <c r="L283">
        <v>194.2</v>
      </c>
      <c r="M283">
        <v>160.4</v>
      </c>
      <c r="N283">
        <v>114.6</v>
      </c>
      <c r="O283">
        <v>164</v>
      </c>
      <c r="P283">
        <v>151.80000000000001</v>
      </c>
      <c r="Q283">
        <v>165.6</v>
      </c>
      <c r="R283">
        <v>161</v>
      </c>
      <c r="S283">
        <v>186.5</v>
      </c>
      <c r="T283">
        <v>155.5</v>
      </c>
      <c r="U283">
        <v>146.1</v>
      </c>
      <c r="V283">
        <v>154.19999999999999</v>
      </c>
      <c r="W283" s="1">
        <v>157.69999999999999</v>
      </c>
      <c r="X283">
        <v>147.9</v>
      </c>
      <c r="Y283">
        <v>150</v>
      </c>
      <c r="Z283">
        <v>159.30000000000001</v>
      </c>
      <c r="AA283">
        <v>141.9</v>
      </c>
      <c r="AB283">
        <v>149.6</v>
      </c>
      <c r="AC283">
        <v>159.19999999999999</v>
      </c>
      <c r="AD283">
        <v>156.80000000000001</v>
      </c>
      <c r="AE283">
        <v>151.9</v>
      </c>
      <c r="AF283">
        <v>157.30000000000001</v>
      </c>
      <c r="AG283" s="2">
        <f>AVERAGE(All_India_Index_Upto_April23[[#This Row],[Food]:[General index]])</f>
        <v>232.62142857142857</v>
      </c>
      <c r="AH283" s="7">
        <f>DATE(All_India_Index_Upto_April23[[#This Row],[Year]],MONTH(1&amp;TRIM(All_India_Index_Upto_April23[[#This Row],[Month]])),1)</f>
        <v>44197</v>
      </c>
    </row>
    <row r="284" spans="1:34" x14ac:dyDescent="0.3">
      <c r="A284">
        <v>283</v>
      </c>
      <c r="B284" s="1" t="s">
        <v>18</v>
      </c>
      <c r="C284">
        <v>2021</v>
      </c>
      <c r="D284" s="1" t="s">
        <v>35</v>
      </c>
      <c r="E284" s="2">
        <v>2211.8000000000002</v>
      </c>
      <c r="F284">
        <v>142.80000000000001</v>
      </c>
      <c r="G284">
        <v>184</v>
      </c>
      <c r="H284">
        <v>168</v>
      </c>
      <c r="I284">
        <v>154.4</v>
      </c>
      <c r="J284">
        <v>163</v>
      </c>
      <c r="K284">
        <v>147.80000000000001</v>
      </c>
      <c r="L284">
        <v>149.69999999999999</v>
      </c>
      <c r="M284">
        <v>158.30000000000001</v>
      </c>
      <c r="N284">
        <v>111.8</v>
      </c>
      <c r="O284">
        <v>165</v>
      </c>
      <c r="P284">
        <v>160</v>
      </c>
      <c r="Q284">
        <v>165.8</v>
      </c>
      <c r="R284">
        <v>154.69999999999999</v>
      </c>
      <c r="S284">
        <v>186.5</v>
      </c>
      <c r="T284">
        <v>159.1</v>
      </c>
      <c r="U284">
        <v>153.9</v>
      </c>
      <c r="V284">
        <v>158.4</v>
      </c>
      <c r="W284" s="1">
        <v>139.12</v>
      </c>
      <c r="X284">
        <v>154.4</v>
      </c>
      <c r="Y284">
        <v>154.80000000000001</v>
      </c>
      <c r="Z284">
        <v>164.3</v>
      </c>
      <c r="AA284">
        <v>150.19999999999999</v>
      </c>
      <c r="AB284">
        <v>157</v>
      </c>
      <c r="AC284">
        <v>163.6</v>
      </c>
      <c r="AD284">
        <v>155.19999999999999</v>
      </c>
      <c r="AE284">
        <v>157.19999999999999</v>
      </c>
      <c r="AF284">
        <v>156.69999999999999</v>
      </c>
      <c r="AG284" s="2">
        <f>AVERAGE(All_India_Index_Upto_April23[[#This Row],[Food]:[General index]])</f>
        <v>230.26857142857145</v>
      </c>
      <c r="AH284" s="7">
        <f>DATE(All_India_Index_Upto_April23[[#This Row],[Year]],MONTH(1&amp;TRIM(All_India_Index_Upto_April23[[#This Row],[Month]])),1)</f>
        <v>44228</v>
      </c>
    </row>
    <row r="285" spans="1:34" x14ac:dyDescent="0.3">
      <c r="A285">
        <v>284</v>
      </c>
      <c r="B285" s="1" t="s">
        <v>33</v>
      </c>
      <c r="C285">
        <v>2021</v>
      </c>
      <c r="D285" s="1" t="s">
        <v>35</v>
      </c>
      <c r="E285" s="2">
        <v>2259.3000000000002</v>
      </c>
      <c r="F285">
        <v>147.6</v>
      </c>
      <c r="G285">
        <v>191.2</v>
      </c>
      <c r="H285">
        <v>169.9</v>
      </c>
      <c r="I285">
        <v>155.1</v>
      </c>
      <c r="J285">
        <v>151.4</v>
      </c>
      <c r="K285">
        <v>154</v>
      </c>
      <c r="L285">
        <v>180.2</v>
      </c>
      <c r="M285">
        <v>159.80000000000001</v>
      </c>
      <c r="N285">
        <v>114.9</v>
      </c>
      <c r="O285">
        <v>162.5</v>
      </c>
      <c r="P285">
        <v>149.19999999999999</v>
      </c>
      <c r="Q285">
        <v>169.4</v>
      </c>
      <c r="R285">
        <v>160.80000000000001</v>
      </c>
      <c r="S285">
        <v>193.3</v>
      </c>
      <c r="T285">
        <v>154.19999999999999</v>
      </c>
      <c r="U285">
        <v>138.19999999999999</v>
      </c>
      <c r="V285">
        <v>151.80000000000001</v>
      </c>
      <c r="W285" s="1">
        <v>159.80000000000001</v>
      </c>
      <c r="X285">
        <v>149.1</v>
      </c>
      <c r="Y285">
        <v>146.5</v>
      </c>
      <c r="Z285">
        <v>156.30000000000001</v>
      </c>
      <c r="AA285">
        <v>140.5</v>
      </c>
      <c r="AB285">
        <v>147.30000000000001</v>
      </c>
      <c r="AC285">
        <v>156.6</v>
      </c>
      <c r="AD285">
        <v>156.69999999999999</v>
      </c>
      <c r="AE285">
        <v>149.30000000000001</v>
      </c>
      <c r="AF285">
        <v>156.5</v>
      </c>
      <c r="AG285" s="2">
        <f>AVERAGE(All_India_Index_Upto_April23[[#This Row],[Food]:[General index]])</f>
        <v>231.47857142857148</v>
      </c>
      <c r="AH285" s="7">
        <f>DATE(All_India_Index_Upto_April23[[#This Row],[Year]],MONTH(1&amp;TRIM(All_India_Index_Upto_April23[[#This Row],[Month]])),1)</f>
        <v>44228</v>
      </c>
    </row>
    <row r="286" spans="1:34" x14ac:dyDescent="0.3">
      <c r="A286">
        <v>285</v>
      </c>
      <c r="B286" s="1" t="s">
        <v>34</v>
      </c>
      <c r="C286">
        <v>2021</v>
      </c>
      <c r="D286" s="1" t="s">
        <v>35</v>
      </c>
      <c r="E286" s="2">
        <v>2227.6000000000004</v>
      </c>
      <c r="F286">
        <v>144.30000000000001</v>
      </c>
      <c r="G286">
        <v>186.5</v>
      </c>
      <c r="H286">
        <v>168.7</v>
      </c>
      <c r="I286">
        <v>154.69999999999999</v>
      </c>
      <c r="J286">
        <v>158.69999999999999</v>
      </c>
      <c r="K286">
        <v>150.69999999999999</v>
      </c>
      <c r="L286">
        <v>160</v>
      </c>
      <c r="M286">
        <v>158.80000000000001</v>
      </c>
      <c r="N286">
        <v>112.8</v>
      </c>
      <c r="O286">
        <v>164.2</v>
      </c>
      <c r="P286">
        <v>155.5</v>
      </c>
      <c r="Q286">
        <v>167.5</v>
      </c>
      <c r="R286">
        <v>156.9</v>
      </c>
      <c r="S286">
        <v>188.3</v>
      </c>
      <c r="T286">
        <v>157.19999999999999</v>
      </c>
      <c r="U286">
        <v>147.4</v>
      </c>
      <c r="V286">
        <v>155.80000000000001</v>
      </c>
      <c r="W286" s="1">
        <v>159.80000000000001</v>
      </c>
      <c r="X286">
        <v>152.4</v>
      </c>
      <c r="Y286">
        <v>150.9</v>
      </c>
      <c r="Z286">
        <v>161.30000000000001</v>
      </c>
      <c r="AA286">
        <v>145.1</v>
      </c>
      <c r="AB286">
        <v>151.5</v>
      </c>
      <c r="AC286">
        <v>159.5</v>
      </c>
      <c r="AD286">
        <v>155.80000000000001</v>
      </c>
      <c r="AE286">
        <v>153.4</v>
      </c>
      <c r="AF286">
        <v>156.6</v>
      </c>
      <c r="AG286" s="2">
        <f>AVERAGE(All_India_Index_Upto_April23[[#This Row],[Food]:[General index]])</f>
        <v>230.78214285714284</v>
      </c>
      <c r="AH286" s="7">
        <f>DATE(All_India_Index_Upto_April23[[#This Row],[Year]],MONTH(1&amp;TRIM(All_India_Index_Upto_April23[[#This Row],[Month]])),1)</f>
        <v>44228</v>
      </c>
    </row>
    <row r="287" spans="1:34" x14ac:dyDescent="0.3">
      <c r="A287">
        <v>286</v>
      </c>
      <c r="B287" s="1" t="s">
        <v>18</v>
      </c>
      <c r="C287">
        <v>2021</v>
      </c>
      <c r="D287" s="1" t="s">
        <v>36</v>
      </c>
      <c r="E287" s="2">
        <v>2211.8000000000002</v>
      </c>
      <c r="F287">
        <v>142.5</v>
      </c>
      <c r="G287">
        <v>189.4</v>
      </c>
      <c r="H287">
        <v>163.19999999999999</v>
      </c>
      <c r="I287">
        <v>154.5</v>
      </c>
      <c r="J287">
        <v>168.2</v>
      </c>
      <c r="K287">
        <v>150.5</v>
      </c>
      <c r="L287">
        <v>141</v>
      </c>
      <c r="M287">
        <v>159.19999999999999</v>
      </c>
      <c r="N287">
        <v>111.7</v>
      </c>
      <c r="O287">
        <v>164</v>
      </c>
      <c r="P287">
        <v>160.6</v>
      </c>
      <c r="Q287">
        <v>166.4</v>
      </c>
      <c r="R287">
        <v>154.5</v>
      </c>
      <c r="S287">
        <v>186.1</v>
      </c>
      <c r="T287">
        <v>159.6</v>
      </c>
      <c r="U287">
        <v>154.4</v>
      </c>
      <c r="V287">
        <v>158.9</v>
      </c>
      <c r="W287" s="1">
        <v>139.12</v>
      </c>
      <c r="X287">
        <v>156</v>
      </c>
      <c r="Y287">
        <v>154.80000000000001</v>
      </c>
      <c r="Z287">
        <v>164.6</v>
      </c>
      <c r="AA287">
        <v>151.30000000000001</v>
      </c>
      <c r="AB287">
        <v>157.80000000000001</v>
      </c>
      <c r="AC287">
        <v>163.80000000000001</v>
      </c>
      <c r="AD287">
        <v>153.1</v>
      </c>
      <c r="AE287">
        <v>157.30000000000001</v>
      </c>
      <c r="AF287">
        <v>156.69999999999999</v>
      </c>
      <c r="AG287" s="2">
        <f>AVERAGE(All_India_Index_Upto_April23[[#This Row],[Food]:[General index]])</f>
        <v>230.39357142857148</v>
      </c>
      <c r="AH287" s="7">
        <f>DATE(All_India_Index_Upto_April23[[#This Row],[Year]],MONTH(1&amp;TRIM(All_India_Index_Upto_April23[[#This Row],[Month]])),1)</f>
        <v>44256</v>
      </c>
    </row>
    <row r="288" spans="1:34" x14ac:dyDescent="0.3">
      <c r="A288">
        <v>287</v>
      </c>
      <c r="B288" s="1" t="s">
        <v>33</v>
      </c>
      <c r="C288">
        <v>2021</v>
      </c>
      <c r="D288" s="1" t="s">
        <v>36</v>
      </c>
      <c r="E288" s="2">
        <v>2257.9999999999995</v>
      </c>
      <c r="F288">
        <v>147.5</v>
      </c>
      <c r="G288">
        <v>197.5</v>
      </c>
      <c r="H288">
        <v>164.7</v>
      </c>
      <c r="I288">
        <v>155.6</v>
      </c>
      <c r="J288">
        <v>156.4</v>
      </c>
      <c r="K288">
        <v>157.30000000000001</v>
      </c>
      <c r="L288">
        <v>166.1</v>
      </c>
      <c r="M288">
        <v>161.1</v>
      </c>
      <c r="N288">
        <v>114.3</v>
      </c>
      <c r="O288">
        <v>162.6</v>
      </c>
      <c r="P288">
        <v>150.69999999999999</v>
      </c>
      <c r="Q288">
        <v>170.3</v>
      </c>
      <c r="R288">
        <v>160.4</v>
      </c>
      <c r="S288">
        <v>193.5</v>
      </c>
      <c r="T288">
        <v>155.1</v>
      </c>
      <c r="U288">
        <v>138.69999999999999</v>
      </c>
      <c r="V288">
        <v>152.6</v>
      </c>
      <c r="W288" s="1">
        <v>159.9</v>
      </c>
      <c r="X288">
        <v>154.80000000000001</v>
      </c>
      <c r="Y288">
        <v>147.19999999999999</v>
      </c>
      <c r="Z288">
        <v>156.9</v>
      </c>
      <c r="AA288">
        <v>141.69999999999999</v>
      </c>
      <c r="AB288">
        <v>148.6</v>
      </c>
      <c r="AC288">
        <v>157.6</v>
      </c>
      <c r="AD288">
        <v>154.9</v>
      </c>
      <c r="AE288">
        <v>150</v>
      </c>
      <c r="AF288">
        <v>156.9</v>
      </c>
      <c r="AG288" s="2">
        <f>AVERAGE(All_India_Index_Upto_April23[[#This Row],[Food]:[General index]])</f>
        <v>231.81785714285709</v>
      </c>
      <c r="AH288" s="7">
        <f>DATE(All_India_Index_Upto_April23[[#This Row],[Year]],MONTH(1&amp;TRIM(All_India_Index_Upto_April23[[#This Row],[Month]])),1)</f>
        <v>44256</v>
      </c>
    </row>
    <row r="289" spans="1:34" x14ac:dyDescent="0.3">
      <c r="A289">
        <v>288</v>
      </c>
      <c r="B289" s="1" t="s">
        <v>34</v>
      </c>
      <c r="C289">
        <v>2021</v>
      </c>
      <c r="D289" s="1" t="s">
        <v>36</v>
      </c>
      <c r="E289" s="2">
        <v>2227.5</v>
      </c>
      <c r="F289">
        <v>144.1</v>
      </c>
      <c r="G289">
        <v>192.2</v>
      </c>
      <c r="H289">
        <v>163.80000000000001</v>
      </c>
      <c r="I289">
        <v>154.9</v>
      </c>
      <c r="J289">
        <v>163.9</v>
      </c>
      <c r="K289">
        <v>153.69999999999999</v>
      </c>
      <c r="L289">
        <v>149.5</v>
      </c>
      <c r="M289">
        <v>159.80000000000001</v>
      </c>
      <c r="N289">
        <v>112.6</v>
      </c>
      <c r="O289">
        <v>163.5</v>
      </c>
      <c r="P289">
        <v>156.5</v>
      </c>
      <c r="Q289">
        <v>168.2</v>
      </c>
      <c r="R289">
        <v>156.69999999999999</v>
      </c>
      <c r="S289">
        <v>188.1</v>
      </c>
      <c r="T289">
        <v>157.80000000000001</v>
      </c>
      <c r="U289">
        <v>147.9</v>
      </c>
      <c r="V289">
        <v>156.4</v>
      </c>
      <c r="W289" s="1">
        <v>159.9</v>
      </c>
      <c r="X289">
        <v>155.5</v>
      </c>
      <c r="Y289">
        <v>151.19999999999999</v>
      </c>
      <c r="Z289">
        <v>161.69999999999999</v>
      </c>
      <c r="AA289">
        <v>146.19999999999999</v>
      </c>
      <c r="AB289">
        <v>152.6</v>
      </c>
      <c r="AC289">
        <v>160.19999999999999</v>
      </c>
      <c r="AD289">
        <v>153.80000000000001</v>
      </c>
      <c r="AE289">
        <v>153.80000000000001</v>
      </c>
      <c r="AF289">
        <v>156.80000000000001</v>
      </c>
      <c r="AG289" s="2">
        <f>AVERAGE(All_India_Index_Upto_April23[[#This Row],[Food]:[General index]])</f>
        <v>231.02857142857141</v>
      </c>
      <c r="AH289" s="7">
        <f>DATE(All_India_Index_Upto_April23[[#This Row],[Year]],MONTH(1&amp;TRIM(All_India_Index_Upto_April23[[#This Row],[Month]])),1)</f>
        <v>44256</v>
      </c>
    </row>
    <row r="290" spans="1:34" x14ac:dyDescent="0.3">
      <c r="A290">
        <v>289</v>
      </c>
      <c r="B290" s="1" t="s">
        <v>18</v>
      </c>
      <c r="C290">
        <v>2021</v>
      </c>
      <c r="D290" s="1" t="s">
        <v>37</v>
      </c>
      <c r="E290" s="2">
        <v>2236.3000000000002</v>
      </c>
      <c r="F290">
        <v>142.69999999999999</v>
      </c>
      <c r="G290">
        <v>195.5</v>
      </c>
      <c r="H290">
        <v>163.4</v>
      </c>
      <c r="I290">
        <v>155</v>
      </c>
      <c r="J290">
        <v>175.2</v>
      </c>
      <c r="K290">
        <v>160.6</v>
      </c>
      <c r="L290">
        <v>135.1</v>
      </c>
      <c r="M290">
        <v>161.1</v>
      </c>
      <c r="N290">
        <v>112.2</v>
      </c>
      <c r="O290">
        <v>164.4</v>
      </c>
      <c r="P290">
        <v>161.9</v>
      </c>
      <c r="Q290">
        <v>166.8</v>
      </c>
      <c r="R290">
        <v>155.6</v>
      </c>
      <c r="S290">
        <v>186.8</v>
      </c>
      <c r="T290">
        <v>160.69999999999999</v>
      </c>
      <c r="U290">
        <v>155.1</v>
      </c>
      <c r="V290">
        <v>159.9</v>
      </c>
      <c r="W290" s="1">
        <v>139.12</v>
      </c>
      <c r="X290">
        <v>156</v>
      </c>
      <c r="Y290">
        <v>155.5</v>
      </c>
      <c r="Z290">
        <v>165.3</v>
      </c>
      <c r="AA290">
        <v>151.69999999999999</v>
      </c>
      <c r="AB290">
        <v>158.6</v>
      </c>
      <c r="AC290">
        <v>164.1</v>
      </c>
      <c r="AD290">
        <v>154.6</v>
      </c>
      <c r="AE290">
        <v>158</v>
      </c>
      <c r="AF290">
        <v>157.6</v>
      </c>
      <c r="AG290" s="2">
        <f>AVERAGE(All_India_Index_Upto_April23[[#This Row],[Food]:[General index]])</f>
        <v>232.45785714285719</v>
      </c>
      <c r="AH290" s="7">
        <f>DATE(All_India_Index_Upto_April23[[#This Row],[Year]],MONTH(1&amp;TRIM(All_India_Index_Upto_April23[[#This Row],[Month]])),1)</f>
        <v>44287</v>
      </c>
    </row>
    <row r="291" spans="1:34" x14ac:dyDescent="0.3">
      <c r="A291">
        <v>290</v>
      </c>
      <c r="B291" s="1" t="s">
        <v>33</v>
      </c>
      <c r="C291">
        <v>2021</v>
      </c>
      <c r="D291" s="1" t="s">
        <v>37</v>
      </c>
      <c r="E291" s="2">
        <v>2284</v>
      </c>
      <c r="F291">
        <v>147.6</v>
      </c>
      <c r="G291">
        <v>202.5</v>
      </c>
      <c r="H291">
        <v>166.4</v>
      </c>
      <c r="I291">
        <v>156</v>
      </c>
      <c r="J291">
        <v>161.4</v>
      </c>
      <c r="K291">
        <v>168.8</v>
      </c>
      <c r="L291">
        <v>161.6</v>
      </c>
      <c r="M291">
        <v>162.80000000000001</v>
      </c>
      <c r="N291">
        <v>114.8</v>
      </c>
      <c r="O291">
        <v>162.80000000000001</v>
      </c>
      <c r="P291">
        <v>151.5</v>
      </c>
      <c r="Q291">
        <v>171.4</v>
      </c>
      <c r="R291">
        <v>162</v>
      </c>
      <c r="S291">
        <v>194.4</v>
      </c>
      <c r="T291">
        <v>155.9</v>
      </c>
      <c r="U291">
        <v>139.30000000000001</v>
      </c>
      <c r="V291">
        <v>153.4</v>
      </c>
      <c r="W291" s="1">
        <v>161.4</v>
      </c>
      <c r="X291">
        <v>154.9</v>
      </c>
      <c r="Y291">
        <v>147.6</v>
      </c>
      <c r="Z291">
        <v>157.5</v>
      </c>
      <c r="AA291">
        <v>142.1</v>
      </c>
      <c r="AB291">
        <v>149.1</v>
      </c>
      <c r="AC291">
        <v>157.6</v>
      </c>
      <c r="AD291">
        <v>156.6</v>
      </c>
      <c r="AE291">
        <v>150.5</v>
      </c>
      <c r="AF291">
        <v>158</v>
      </c>
      <c r="AG291" s="2">
        <f>AVERAGE(All_India_Index_Upto_April23[[#This Row],[Food]:[General index]])</f>
        <v>233.99642857142859</v>
      </c>
      <c r="AH291" s="7">
        <f>DATE(All_India_Index_Upto_April23[[#This Row],[Year]],MONTH(1&amp;TRIM(All_India_Index_Upto_April23[[#This Row],[Month]])),1)</f>
        <v>44287</v>
      </c>
    </row>
    <row r="292" spans="1:34" x14ac:dyDescent="0.3">
      <c r="A292">
        <v>291</v>
      </c>
      <c r="B292" s="1" t="s">
        <v>34</v>
      </c>
      <c r="C292">
        <v>2021</v>
      </c>
      <c r="D292" s="1" t="s">
        <v>37</v>
      </c>
      <c r="E292" s="2">
        <v>2252.9</v>
      </c>
      <c r="F292">
        <v>144.30000000000001</v>
      </c>
      <c r="G292">
        <v>198</v>
      </c>
      <c r="H292">
        <v>164.6</v>
      </c>
      <c r="I292">
        <v>155.4</v>
      </c>
      <c r="J292">
        <v>170.1</v>
      </c>
      <c r="K292">
        <v>164.4</v>
      </c>
      <c r="L292">
        <v>144.1</v>
      </c>
      <c r="M292">
        <v>161.69999999999999</v>
      </c>
      <c r="N292">
        <v>113.1</v>
      </c>
      <c r="O292">
        <v>163.9</v>
      </c>
      <c r="P292">
        <v>157.6</v>
      </c>
      <c r="Q292">
        <v>168.9</v>
      </c>
      <c r="R292">
        <v>158</v>
      </c>
      <c r="S292">
        <v>188.8</v>
      </c>
      <c r="T292">
        <v>158.80000000000001</v>
      </c>
      <c r="U292">
        <v>148.5</v>
      </c>
      <c r="V292">
        <v>157.30000000000001</v>
      </c>
      <c r="W292" s="1">
        <v>161.4</v>
      </c>
      <c r="X292">
        <v>155.6</v>
      </c>
      <c r="Y292">
        <v>151.80000000000001</v>
      </c>
      <c r="Z292">
        <v>162.30000000000001</v>
      </c>
      <c r="AA292">
        <v>146.6</v>
      </c>
      <c r="AB292">
        <v>153.19999999999999</v>
      </c>
      <c r="AC292">
        <v>160.30000000000001</v>
      </c>
      <c r="AD292">
        <v>155.4</v>
      </c>
      <c r="AE292">
        <v>154.4</v>
      </c>
      <c r="AF292">
        <v>157.80000000000001</v>
      </c>
      <c r="AG292" s="2">
        <f>AVERAGE(All_India_Index_Upto_April23[[#This Row],[Food]:[General index]])</f>
        <v>233.18571428571431</v>
      </c>
      <c r="AH292" s="7">
        <f>DATE(All_India_Index_Upto_April23[[#This Row],[Year]],MONTH(1&amp;TRIM(All_India_Index_Upto_April23[[#This Row],[Month]])),1)</f>
        <v>44287</v>
      </c>
    </row>
    <row r="293" spans="1:34" x14ac:dyDescent="0.3">
      <c r="A293">
        <v>292</v>
      </c>
      <c r="B293" s="1" t="s">
        <v>18</v>
      </c>
      <c r="C293">
        <v>2021</v>
      </c>
      <c r="D293" s="1" t="s">
        <v>38</v>
      </c>
      <c r="E293" s="2">
        <v>2284.8999999999996</v>
      </c>
      <c r="F293">
        <v>145.1</v>
      </c>
      <c r="G293">
        <v>198.5</v>
      </c>
      <c r="H293">
        <v>168.6</v>
      </c>
      <c r="I293">
        <v>155.80000000000001</v>
      </c>
      <c r="J293">
        <v>184.4</v>
      </c>
      <c r="K293">
        <v>162.30000000000001</v>
      </c>
      <c r="L293">
        <v>138.4</v>
      </c>
      <c r="M293">
        <v>165.1</v>
      </c>
      <c r="N293">
        <v>114.3</v>
      </c>
      <c r="O293">
        <v>169.7</v>
      </c>
      <c r="P293">
        <v>164.6</v>
      </c>
      <c r="Q293">
        <v>169.8</v>
      </c>
      <c r="R293">
        <v>158.69999999999999</v>
      </c>
      <c r="S293">
        <v>189.6</v>
      </c>
      <c r="T293">
        <v>165.3</v>
      </c>
      <c r="U293">
        <v>160.6</v>
      </c>
      <c r="V293">
        <v>164.5</v>
      </c>
      <c r="W293" s="1">
        <v>139.12</v>
      </c>
      <c r="X293">
        <v>161.69999999999999</v>
      </c>
      <c r="Y293">
        <v>158.80000000000001</v>
      </c>
      <c r="Z293">
        <v>169.1</v>
      </c>
      <c r="AA293">
        <v>153.19999999999999</v>
      </c>
      <c r="AB293">
        <v>160</v>
      </c>
      <c r="AC293">
        <v>167.6</v>
      </c>
      <c r="AD293">
        <v>159.30000000000001</v>
      </c>
      <c r="AE293">
        <v>161.1</v>
      </c>
      <c r="AF293">
        <v>161.1</v>
      </c>
      <c r="AG293" s="2">
        <f>AVERAGE(All_India_Index_Upto_April23[[#This Row],[Food]:[General index]])</f>
        <v>237.54357142857151</v>
      </c>
      <c r="AH293" s="7">
        <f>DATE(All_India_Index_Upto_April23[[#This Row],[Year]],MONTH(1&amp;TRIM(All_India_Index_Upto_April23[[#This Row],[Month]])),1)</f>
        <v>44317</v>
      </c>
    </row>
    <row r="294" spans="1:34" x14ac:dyDescent="0.3">
      <c r="A294">
        <v>293</v>
      </c>
      <c r="B294" s="1" t="s">
        <v>33</v>
      </c>
      <c r="C294">
        <v>2021</v>
      </c>
      <c r="D294" s="1" t="s">
        <v>38</v>
      </c>
      <c r="E294" s="2">
        <v>2322.9</v>
      </c>
      <c r="F294">
        <v>148.80000000000001</v>
      </c>
      <c r="G294">
        <v>204.3</v>
      </c>
      <c r="H294">
        <v>173</v>
      </c>
      <c r="I294">
        <v>156.5</v>
      </c>
      <c r="J294">
        <v>168.8</v>
      </c>
      <c r="K294">
        <v>172.5</v>
      </c>
      <c r="L294">
        <v>166.5</v>
      </c>
      <c r="M294">
        <v>165.9</v>
      </c>
      <c r="N294">
        <v>115.9</v>
      </c>
      <c r="O294">
        <v>165.2</v>
      </c>
      <c r="P294">
        <v>152</v>
      </c>
      <c r="Q294">
        <v>171.1</v>
      </c>
      <c r="R294">
        <v>164.2</v>
      </c>
      <c r="S294">
        <v>198.2</v>
      </c>
      <c r="T294">
        <v>156.5</v>
      </c>
      <c r="U294">
        <v>140.19999999999999</v>
      </c>
      <c r="V294">
        <v>154.1</v>
      </c>
      <c r="W294" s="1">
        <v>161.6</v>
      </c>
      <c r="X294">
        <v>155.5</v>
      </c>
      <c r="Y294">
        <v>150.1</v>
      </c>
      <c r="Z294">
        <v>160.4</v>
      </c>
      <c r="AA294">
        <v>145</v>
      </c>
      <c r="AB294">
        <v>152.6</v>
      </c>
      <c r="AC294">
        <v>156.6</v>
      </c>
      <c r="AD294">
        <v>157.5</v>
      </c>
      <c r="AE294">
        <v>152.30000000000001</v>
      </c>
      <c r="AF294">
        <v>159.5</v>
      </c>
      <c r="AG294" s="2">
        <f>AVERAGE(All_India_Index_Upto_April23[[#This Row],[Food]:[General index]])</f>
        <v>237.41785714285723</v>
      </c>
      <c r="AH294" s="7">
        <f>DATE(All_India_Index_Upto_April23[[#This Row],[Year]],MONTH(1&amp;TRIM(All_India_Index_Upto_April23[[#This Row],[Month]])),1)</f>
        <v>44317</v>
      </c>
    </row>
    <row r="295" spans="1:34" x14ac:dyDescent="0.3">
      <c r="A295">
        <v>294</v>
      </c>
      <c r="B295" s="1" t="s">
        <v>34</v>
      </c>
      <c r="C295">
        <v>2021</v>
      </c>
      <c r="D295" s="1" t="s">
        <v>38</v>
      </c>
      <c r="E295" s="2">
        <v>2297.6000000000004</v>
      </c>
      <c r="F295">
        <v>146.30000000000001</v>
      </c>
      <c r="G295">
        <v>200.5</v>
      </c>
      <c r="H295">
        <v>170.3</v>
      </c>
      <c r="I295">
        <v>156.1</v>
      </c>
      <c r="J295">
        <v>178.7</v>
      </c>
      <c r="K295">
        <v>167.1</v>
      </c>
      <c r="L295">
        <v>147.9</v>
      </c>
      <c r="M295">
        <v>165.4</v>
      </c>
      <c r="N295">
        <v>114.8</v>
      </c>
      <c r="O295">
        <v>168.2</v>
      </c>
      <c r="P295">
        <v>159.30000000000001</v>
      </c>
      <c r="Q295">
        <v>170.4</v>
      </c>
      <c r="R295">
        <v>160.69999999999999</v>
      </c>
      <c r="S295">
        <v>191.9</v>
      </c>
      <c r="T295">
        <v>161.80000000000001</v>
      </c>
      <c r="U295">
        <v>152.1</v>
      </c>
      <c r="V295">
        <v>160.4</v>
      </c>
      <c r="W295" s="1">
        <v>161.6</v>
      </c>
      <c r="X295">
        <v>159.4</v>
      </c>
      <c r="Y295">
        <v>154.69999999999999</v>
      </c>
      <c r="Z295">
        <v>165.8</v>
      </c>
      <c r="AA295">
        <v>148.9</v>
      </c>
      <c r="AB295">
        <v>155.80000000000001</v>
      </c>
      <c r="AC295">
        <v>161.19999999999999</v>
      </c>
      <c r="AD295">
        <v>158.6</v>
      </c>
      <c r="AE295">
        <v>156.80000000000001</v>
      </c>
      <c r="AF295">
        <v>160.4</v>
      </c>
      <c r="AG295" s="2">
        <f>AVERAGE(All_India_Index_Upto_April23[[#This Row],[Food]:[General index]])</f>
        <v>237.59642857142856</v>
      </c>
      <c r="AH295" s="7">
        <f>DATE(All_India_Index_Upto_April23[[#This Row],[Year]],MONTH(1&amp;TRIM(All_India_Index_Upto_April23[[#This Row],[Month]])),1)</f>
        <v>44317</v>
      </c>
    </row>
    <row r="296" spans="1:34" x14ac:dyDescent="0.3">
      <c r="A296">
        <v>295</v>
      </c>
      <c r="B296" s="1" t="s">
        <v>18</v>
      </c>
      <c r="C296">
        <v>2021</v>
      </c>
      <c r="D296" s="1" t="s">
        <v>39</v>
      </c>
      <c r="E296" s="2">
        <v>2311.6999999999998</v>
      </c>
      <c r="F296">
        <v>145.6</v>
      </c>
      <c r="G296">
        <v>200.1</v>
      </c>
      <c r="H296">
        <v>179.3</v>
      </c>
      <c r="I296">
        <v>156.1</v>
      </c>
      <c r="J296">
        <v>190.4</v>
      </c>
      <c r="K296">
        <v>158.6</v>
      </c>
      <c r="L296">
        <v>144.69999999999999</v>
      </c>
      <c r="M296">
        <v>165.5</v>
      </c>
      <c r="N296">
        <v>114.6</v>
      </c>
      <c r="O296">
        <v>170</v>
      </c>
      <c r="P296">
        <v>165.5</v>
      </c>
      <c r="Q296">
        <v>171.7</v>
      </c>
      <c r="R296">
        <v>160.5</v>
      </c>
      <c r="S296">
        <v>189.1</v>
      </c>
      <c r="T296">
        <v>165.3</v>
      </c>
      <c r="U296">
        <v>159.9</v>
      </c>
      <c r="V296">
        <v>164.6</v>
      </c>
      <c r="W296" s="1">
        <v>139.12</v>
      </c>
      <c r="X296">
        <v>162.1</v>
      </c>
      <c r="Y296">
        <v>159.19999999999999</v>
      </c>
      <c r="Z296">
        <v>169.7</v>
      </c>
      <c r="AA296">
        <v>154.19999999999999</v>
      </c>
      <c r="AB296">
        <v>160.4</v>
      </c>
      <c r="AC296">
        <v>166.8</v>
      </c>
      <c r="AD296">
        <v>159.4</v>
      </c>
      <c r="AE296">
        <v>161.5</v>
      </c>
      <c r="AF296">
        <v>162.1</v>
      </c>
      <c r="AG296" s="2">
        <f>AVERAGE(All_India_Index_Upto_April23[[#This Row],[Food]:[General index]])</f>
        <v>239.56142857142854</v>
      </c>
      <c r="AH296" s="7">
        <f>DATE(All_India_Index_Upto_April23[[#This Row],[Year]],MONTH(1&amp;TRIM(All_India_Index_Upto_April23[[#This Row],[Month]])),1)</f>
        <v>44348</v>
      </c>
    </row>
    <row r="297" spans="1:34" x14ac:dyDescent="0.3">
      <c r="A297">
        <v>296</v>
      </c>
      <c r="B297" s="1" t="s">
        <v>33</v>
      </c>
      <c r="C297">
        <v>2021</v>
      </c>
      <c r="D297" s="1" t="s">
        <v>39</v>
      </c>
      <c r="E297" s="2">
        <v>2349.7999999999997</v>
      </c>
      <c r="F297">
        <v>149.19999999999999</v>
      </c>
      <c r="G297">
        <v>205.5</v>
      </c>
      <c r="H297">
        <v>182.8</v>
      </c>
      <c r="I297">
        <v>156.5</v>
      </c>
      <c r="J297">
        <v>172.2</v>
      </c>
      <c r="K297">
        <v>171.5</v>
      </c>
      <c r="L297">
        <v>176.2</v>
      </c>
      <c r="M297">
        <v>166.9</v>
      </c>
      <c r="N297">
        <v>116.1</v>
      </c>
      <c r="O297">
        <v>165.5</v>
      </c>
      <c r="P297">
        <v>152.30000000000001</v>
      </c>
      <c r="Q297">
        <v>173.3</v>
      </c>
      <c r="R297">
        <v>166.2</v>
      </c>
      <c r="S297">
        <v>195.6</v>
      </c>
      <c r="T297">
        <v>157.30000000000001</v>
      </c>
      <c r="U297">
        <v>140.5</v>
      </c>
      <c r="V297">
        <v>154.80000000000001</v>
      </c>
      <c r="W297" s="1">
        <v>160.5</v>
      </c>
      <c r="X297">
        <v>156.1</v>
      </c>
      <c r="Y297">
        <v>149.80000000000001</v>
      </c>
      <c r="Z297">
        <v>160.80000000000001</v>
      </c>
      <c r="AA297">
        <v>147.5</v>
      </c>
      <c r="AB297">
        <v>150.69999999999999</v>
      </c>
      <c r="AC297">
        <v>158.1</v>
      </c>
      <c r="AD297">
        <v>158</v>
      </c>
      <c r="AE297">
        <v>153.4</v>
      </c>
      <c r="AF297">
        <v>160.4</v>
      </c>
      <c r="AG297" s="2">
        <f>AVERAGE(All_India_Index_Upto_April23[[#This Row],[Food]:[General index]])</f>
        <v>239.55357142857142</v>
      </c>
      <c r="AH297" s="7">
        <f>DATE(All_India_Index_Upto_April23[[#This Row],[Year]],MONTH(1&amp;TRIM(All_India_Index_Upto_April23[[#This Row],[Month]])),1)</f>
        <v>44348</v>
      </c>
    </row>
    <row r="298" spans="1:34" x14ac:dyDescent="0.3">
      <c r="A298">
        <v>297</v>
      </c>
      <c r="B298" s="1" t="s">
        <v>34</v>
      </c>
      <c r="C298">
        <v>2021</v>
      </c>
      <c r="D298" s="1" t="s">
        <v>39</v>
      </c>
      <c r="E298" s="2">
        <v>2324.7000000000003</v>
      </c>
      <c r="F298">
        <v>146.69999999999999</v>
      </c>
      <c r="G298">
        <v>202</v>
      </c>
      <c r="H298">
        <v>180.7</v>
      </c>
      <c r="I298">
        <v>156.19999999999999</v>
      </c>
      <c r="J298">
        <v>183.7</v>
      </c>
      <c r="K298">
        <v>164.6</v>
      </c>
      <c r="L298">
        <v>155.4</v>
      </c>
      <c r="M298">
        <v>166</v>
      </c>
      <c r="N298">
        <v>115.1</v>
      </c>
      <c r="O298">
        <v>168.5</v>
      </c>
      <c r="P298">
        <v>160</v>
      </c>
      <c r="Q298">
        <v>172.4</v>
      </c>
      <c r="R298">
        <v>162.6</v>
      </c>
      <c r="S298">
        <v>190.8</v>
      </c>
      <c r="T298">
        <v>162.19999999999999</v>
      </c>
      <c r="U298">
        <v>151.80000000000001</v>
      </c>
      <c r="V298">
        <v>160.69999999999999</v>
      </c>
      <c r="W298" s="1">
        <v>160.5</v>
      </c>
      <c r="X298">
        <v>159.80000000000001</v>
      </c>
      <c r="Y298">
        <v>154.80000000000001</v>
      </c>
      <c r="Z298">
        <v>166.3</v>
      </c>
      <c r="AA298">
        <v>150.69999999999999</v>
      </c>
      <c r="AB298">
        <v>154.9</v>
      </c>
      <c r="AC298">
        <v>161.69999999999999</v>
      </c>
      <c r="AD298">
        <v>158.80000000000001</v>
      </c>
      <c r="AE298">
        <v>157.6</v>
      </c>
      <c r="AF298">
        <v>161.30000000000001</v>
      </c>
      <c r="AG298" s="2">
        <f>AVERAGE(All_India_Index_Upto_April23[[#This Row],[Food]:[General index]])</f>
        <v>239.66071428571428</v>
      </c>
      <c r="AH298" s="7">
        <f>DATE(All_India_Index_Upto_April23[[#This Row],[Year]],MONTH(1&amp;TRIM(All_India_Index_Upto_April23[[#This Row],[Month]])),1)</f>
        <v>44348</v>
      </c>
    </row>
    <row r="299" spans="1:34" x14ac:dyDescent="0.3">
      <c r="A299">
        <v>298</v>
      </c>
      <c r="B299" s="1" t="s">
        <v>18</v>
      </c>
      <c r="C299">
        <v>2021</v>
      </c>
      <c r="D299" s="1" t="s">
        <v>40</v>
      </c>
      <c r="E299" s="2">
        <v>2322.1</v>
      </c>
      <c r="F299">
        <v>145.1</v>
      </c>
      <c r="G299">
        <v>204.5</v>
      </c>
      <c r="H299">
        <v>180.4</v>
      </c>
      <c r="I299">
        <v>157.1</v>
      </c>
      <c r="J299">
        <v>188.7</v>
      </c>
      <c r="K299">
        <v>157.69999999999999</v>
      </c>
      <c r="L299">
        <v>152.80000000000001</v>
      </c>
      <c r="M299">
        <v>163.6</v>
      </c>
      <c r="N299">
        <v>113.9</v>
      </c>
      <c r="O299">
        <v>169.7</v>
      </c>
      <c r="P299">
        <v>166.2</v>
      </c>
      <c r="Q299">
        <v>171</v>
      </c>
      <c r="R299">
        <v>161.69999999999999</v>
      </c>
      <c r="S299">
        <v>189.7</v>
      </c>
      <c r="T299">
        <v>166</v>
      </c>
      <c r="U299">
        <v>161.1</v>
      </c>
      <c r="V299">
        <v>165.3</v>
      </c>
      <c r="W299" s="1">
        <v>139.12</v>
      </c>
      <c r="X299">
        <v>162.5</v>
      </c>
      <c r="Y299">
        <v>160.30000000000001</v>
      </c>
      <c r="Z299">
        <v>170.4</v>
      </c>
      <c r="AA299">
        <v>157.1</v>
      </c>
      <c r="AB299">
        <v>160.69999999999999</v>
      </c>
      <c r="AC299">
        <v>167.2</v>
      </c>
      <c r="AD299">
        <v>160.4</v>
      </c>
      <c r="AE299">
        <v>162.80000000000001</v>
      </c>
      <c r="AF299">
        <v>163.19999999999999</v>
      </c>
      <c r="AG299" s="2">
        <f>AVERAGE(All_India_Index_Upto_April23[[#This Row],[Food]:[General index]])</f>
        <v>240.72571428571425</v>
      </c>
      <c r="AH299" s="7">
        <f>DATE(All_India_Index_Upto_April23[[#This Row],[Year]],MONTH(1&amp;TRIM(All_India_Index_Upto_April23[[#This Row],[Month]])),1)</f>
        <v>44378</v>
      </c>
    </row>
    <row r="300" spans="1:34" x14ac:dyDescent="0.3">
      <c r="A300">
        <v>299</v>
      </c>
      <c r="B300" s="1" t="s">
        <v>33</v>
      </c>
      <c r="C300">
        <v>2021</v>
      </c>
      <c r="D300" s="1" t="s">
        <v>40</v>
      </c>
      <c r="E300" s="2">
        <v>2367.3000000000002</v>
      </c>
      <c r="F300">
        <v>149.1</v>
      </c>
      <c r="G300">
        <v>210.9</v>
      </c>
      <c r="H300">
        <v>185</v>
      </c>
      <c r="I300">
        <v>158.19999999999999</v>
      </c>
      <c r="J300">
        <v>170.6</v>
      </c>
      <c r="K300">
        <v>170.9</v>
      </c>
      <c r="L300">
        <v>186.4</v>
      </c>
      <c r="M300">
        <v>164.7</v>
      </c>
      <c r="N300">
        <v>115.7</v>
      </c>
      <c r="O300">
        <v>165.5</v>
      </c>
      <c r="P300">
        <v>153.4</v>
      </c>
      <c r="Q300">
        <v>173.5</v>
      </c>
      <c r="R300">
        <v>167.9</v>
      </c>
      <c r="S300">
        <v>195.5</v>
      </c>
      <c r="T300">
        <v>157.9</v>
      </c>
      <c r="U300">
        <v>141.9</v>
      </c>
      <c r="V300">
        <v>155.5</v>
      </c>
      <c r="W300" s="1">
        <v>161.5</v>
      </c>
      <c r="X300">
        <v>157.69999999999999</v>
      </c>
      <c r="Y300">
        <v>150.69999999999999</v>
      </c>
      <c r="Z300">
        <v>161.5</v>
      </c>
      <c r="AA300">
        <v>149.5</v>
      </c>
      <c r="AB300">
        <v>151.19999999999999</v>
      </c>
      <c r="AC300">
        <v>160.30000000000001</v>
      </c>
      <c r="AD300">
        <v>159.6</v>
      </c>
      <c r="AE300">
        <v>155</v>
      </c>
      <c r="AF300">
        <v>161.80000000000001</v>
      </c>
      <c r="AG300" s="2">
        <f>AVERAGE(All_India_Index_Upto_April23[[#This Row],[Food]:[General index]])</f>
        <v>241.38214285714281</v>
      </c>
      <c r="AH300" s="7">
        <f>DATE(All_India_Index_Upto_April23[[#This Row],[Year]],MONTH(1&amp;TRIM(All_India_Index_Upto_April23[[#This Row],[Month]])),1)</f>
        <v>44378</v>
      </c>
    </row>
    <row r="301" spans="1:34" x14ac:dyDescent="0.3">
      <c r="A301">
        <v>300</v>
      </c>
      <c r="B301" s="1" t="s">
        <v>34</v>
      </c>
      <c r="C301">
        <v>2021</v>
      </c>
      <c r="D301" s="1" t="s">
        <v>40</v>
      </c>
      <c r="E301" s="2">
        <v>2338.1999999999998</v>
      </c>
      <c r="F301">
        <v>146.4</v>
      </c>
      <c r="G301">
        <v>206.8</v>
      </c>
      <c r="H301">
        <v>182.2</v>
      </c>
      <c r="I301">
        <v>157.5</v>
      </c>
      <c r="J301">
        <v>182.1</v>
      </c>
      <c r="K301">
        <v>163.9</v>
      </c>
      <c r="L301">
        <v>164.2</v>
      </c>
      <c r="M301">
        <v>164</v>
      </c>
      <c r="N301">
        <v>114.5</v>
      </c>
      <c r="O301">
        <v>168.3</v>
      </c>
      <c r="P301">
        <v>160.9</v>
      </c>
      <c r="Q301">
        <v>172.2</v>
      </c>
      <c r="R301">
        <v>164</v>
      </c>
      <c r="S301">
        <v>191.2</v>
      </c>
      <c r="T301">
        <v>162.80000000000001</v>
      </c>
      <c r="U301">
        <v>153.1</v>
      </c>
      <c r="V301">
        <v>161.4</v>
      </c>
      <c r="W301" s="1">
        <v>161.5</v>
      </c>
      <c r="X301">
        <v>160.69999999999999</v>
      </c>
      <c r="Y301">
        <v>155.80000000000001</v>
      </c>
      <c r="Z301">
        <v>167</v>
      </c>
      <c r="AA301">
        <v>153.1</v>
      </c>
      <c r="AB301">
        <v>155.30000000000001</v>
      </c>
      <c r="AC301">
        <v>163.19999999999999</v>
      </c>
      <c r="AD301">
        <v>160.1</v>
      </c>
      <c r="AE301">
        <v>159</v>
      </c>
      <c r="AF301">
        <v>162.5</v>
      </c>
      <c r="AG301" s="2">
        <f>AVERAGE(All_India_Index_Upto_April23[[#This Row],[Food]:[General index]])</f>
        <v>241.13928571428573</v>
      </c>
      <c r="AH301" s="7">
        <f>DATE(All_India_Index_Upto_April23[[#This Row],[Year]],MONTH(1&amp;TRIM(All_India_Index_Upto_April23[[#This Row],[Month]])),1)</f>
        <v>44378</v>
      </c>
    </row>
    <row r="302" spans="1:34" x14ac:dyDescent="0.3">
      <c r="A302">
        <v>301</v>
      </c>
      <c r="B302" s="1" t="s">
        <v>18</v>
      </c>
      <c r="C302">
        <v>2021</v>
      </c>
      <c r="D302" s="1" t="s">
        <v>41</v>
      </c>
      <c r="E302" s="2">
        <v>2321</v>
      </c>
      <c r="F302">
        <v>144.9</v>
      </c>
      <c r="G302">
        <v>202.3</v>
      </c>
      <c r="H302">
        <v>176.5</v>
      </c>
      <c r="I302">
        <v>157.5</v>
      </c>
      <c r="J302">
        <v>190.9</v>
      </c>
      <c r="K302">
        <v>155.69999999999999</v>
      </c>
      <c r="L302">
        <v>153.9</v>
      </c>
      <c r="M302">
        <v>162.80000000000001</v>
      </c>
      <c r="N302">
        <v>115.2</v>
      </c>
      <c r="O302">
        <v>169.8</v>
      </c>
      <c r="P302">
        <v>167.6</v>
      </c>
      <c r="Q302">
        <v>171.9</v>
      </c>
      <c r="R302">
        <v>161.80000000000001</v>
      </c>
      <c r="S302">
        <v>190.2</v>
      </c>
      <c r="T302">
        <v>167</v>
      </c>
      <c r="U302">
        <v>162.6</v>
      </c>
      <c r="V302">
        <v>166.3</v>
      </c>
      <c r="W302" s="1">
        <v>139.12</v>
      </c>
      <c r="X302">
        <v>163.1</v>
      </c>
      <c r="Y302">
        <v>160.9</v>
      </c>
      <c r="Z302">
        <v>171.1</v>
      </c>
      <c r="AA302">
        <v>157.69999999999999</v>
      </c>
      <c r="AB302">
        <v>161.1</v>
      </c>
      <c r="AC302">
        <v>167.5</v>
      </c>
      <c r="AD302">
        <v>160.30000000000001</v>
      </c>
      <c r="AE302">
        <v>163.30000000000001</v>
      </c>
      <c r="AF302">
        <v>163.6</v>
      </c>
      <c r="AG302" s="2">
        <f>AVERAGE(All_India_Index_Upto_April23[[#This Row],[Food]:[General index]])</f>
        <v>240.91500000000005</v>
      </c>
      <c r="AH302" s="7">
        <f>DATE(All_India_Index_Upto_April23[[#This Row],[Year]],MONTH(1&amp;TRIM(All_India_Index_Upto_April23[[#This Row],[Month]])),1)</f>
        <v>44409</v>
      </c>
    </row>
    <row r="303" spans="1:34" x14ac:dyDescent="0.3">
      <c r="A303">
        <v>302</v>
      </c>
      <c r="B303" s="1" t="s">
        <v>33</v>
      </c>
      <c r="C303">
        <v>2021</v>
      </c>
      <c r="D303" s="1" t="s">
        <v>41</v>
      </c>
      <c r="E303" s="2">
        <v>2354.4</v>
      </c>
      <c r="F303">
        <v>149.30000000000001</v>
      </c>
      <c r="G303">
        <v>207.4</v>
      </c>
      <c r="H303">
        <v>174.1</v>
      </c>
      <c r="I303">
        <v>159.19999999999999</v>
      </c>
      <c r="J303">
        <v>175</v>
      </c>
      <c r="K303">
        <v>161.30000000000001</v>
      </c>
      <c r="L303">
        <v>183.3</v>
      </c>
      <c r="M303">
        <v>164.5</v>
      </c>
      <c r="N303">
        <v>120.4</v>
      </c>
      <c r="O303">
        <v>166.2</v>
      </c>
      <c r="P303">
        <v>154.80000000000001</v>
      </c>
      <c r="Q303">
        <v>175.1</v>
      </c>
      <c r="R303">
        <v>167.3</v>
      </c>
      <c r="S303">
        <v>196.5</v>
      </c>
      <c r="T303">
        <v>159.80000000000001</v>
      </c>
      <c r="U303">
        <v>143.6</v>
      </c>
      <c r="V303">
        <v>157.30000000000001</v>
      </c>
      <c r="W303" s="1">
        <v>162.1</v>
      </c>
      <c r="X303">
        <v>160.69999999999999</v>
      </c>
      <c r="Y303">
        <v>153.19999999999999</v>
      </c>
      <c r="Z303">
        <v>162.80000000000001</v>
      </c>
      <c r="AA303">
        <v>150.4</v>
      </c>
      <c r="AB303">
        <v>153.69999999999999</v>
      </c>
      <c r="AC303">
        <v>160.4</v>
      </c>
      <c r="AD303">
        <v>159.6</v>
      </c>
      <c r="AE303">
        <v>156</v>
      </c>
      <c r="AF303">
        <v>162.30000000000001</v>
      </c>
      <c r="AG303" s="2">
        <f>AVERAGE(All_India_Index_Upto_April23[[#This Row],[Food]:[General index]])</f>
        <v>241.09642857142862</v>
      </c>
      <c r="AH303" s="7">
        <f>DATE(All_India_Index_Upto_April23[[#This Row],[Year]],MONTH(1&amp;TRIM(All_India_Index_Upto_April23[[#This Row],[Month]])),1)</f>
        <v>44409</v>
      </c>
    </row>
    <row r="304" spans="1:34" x14ac:dyDescent="0.3">
      <c r="A304">
        <v>303</v>
      </c>
      <c r="B304" s="1" t="s">
        <v>34</v>
      </c>
      <c r="C304">
        <v>2021</v>
      </c>
      <c r="D304" s="1" t="s">
        <v>41</v>
      </c>
      <c r="E304" s="2">
        <v>2334.1</v>
      </c>
      <c r="F304">
        <v>146.6</v>
      </c>
      <c r="G304">
        <v>204</v>
      </c>
      <c r="H304">
        <v>172.8</v>
      </c>
      <c r="I304">
        <v>158.4</v>
      </c>
      <c r="J304">
        <v>188</v>
      </c>
      <c r="K304">
        <v>156.80000000000001</v>
      </c>
      <c r="L304">
        <v>162.19999999999999</v>
      </c>
      <c r="M304">
        <v>164.1</v>
      </c>
      <c r="N304">
        <v>119.7</v>
      </c>
      <c r="O304">
        <v>168.8</v>
      </c>
      <c r="P304">
        <v>162.69999999999999</v>
      </c>
      <c r="Q304">
        <v>173.9</v>
      </c>
      <c r="R304">
        <v>164</v>
      </c>
      <c r="S304">
        <v>192.1</v>
      </c>
      <c r="T304">
        <v>164.5</v>
      </c>
      <c r="U304">
        <v>155.30000000000001</v>
      </c>
      <c r="V304">
        <v>163.19999999999999</v>
      </c>
      <c r="W304" s="1">
        <v>162.1</v>
      </c>
      <c r="X304">
        <v>162.6</v>
      </c>
      <c r="Y304">
        <v>157.5</v>
      </c>
      <c r="Z304">
        <v>168.4</v>
      </c>
      <c r="AA304">
        <v>154</v>
      </c>
      <c r="AB304">
        <v>157.6</v>
      </c>
      <c r="AC304">
        <v>163.80000000000001</v>
      </c>
      <c r="AD304">
        <v>160</v>
      </c>
      <c r="AE304">
        <v>160</v>
      </c>
      <c r="AF304">
        <v>163.19999999999999</v>
      </c>
      <c r="AG304" s="2">
        <f>AVERAGE(All_India_Index_Upto_April23[[#This Row],[Food]:[General index]])</f>
        <v>241.44285714285715</v>
      </c>
      <c r="AH304" s="7">
        <f>DATE(All_India_Index_Upto_April23[[#This Row],[Year]],MONTH(1&amp;TRIM(All_India_Index_Upto_April23[[#This Row],[Month]])),1)</f>
        <v>44409</v>
      </c>
    </row>
    <row r="305" spans="1:34" x14ac:dyDescent="0.3">
      <c r="A305">
        <v>304</v>
      </c>
      <c r="B305" s="1" t="s">
        <v>18</v>
      </c>
      <c r="C305">
        <v>2021</v>
      </c>
      <c r="D305" s="1" t="s">
        <v>42</v>
      </c>
      <c r="E305" s="2">
        <v>2324.1</v>
      </c>
      <c r="F305">
        <v>145.4</v>
      </c>
      <c r="G305">
        <v>202.1</v>
      </c>
      <c r="H305">
        <v>172</v>
      </c>
      <c r="I305">
        <v>158</v>
      </c>
      <c r="J305">
        <v>195.5</v>
      </c>
      <c r="K305">
        <v>152.69999999999999</v>
      </c>
      <c r="L305">
        <v>151.4</v>
      </c>
      <c r="M305">
        <v>163.9</v>
      </c>
      <c r="N305">
        <v>119.3</v>
      </c>
      <c r="O305">
        <v>170.1</v>
      </c>
      <c r="P305">
        <v>168.3</v>
      </c>
      <c r="Q305">
        <v>172.8</v>
      </c>
      <c r="R305">
        <v>162.1</v>
      </c>
      <c r="S305">
        <v>190.5</v>
      </c>
      <c r="T305">
        <v>167.7</v>
      </c>
      <c r="U305">
        <v>163.6</v>
      </c>
      <c r="V305">
        <v>167.1</v>
      </c>
      <c r="W305" s="1">
        <v>139.12</v>
      </c>
      <c r="X305">
        <v>163.69999999999999</v>
      </c>
      <c r="Y305">
        <v>161.30000000000001</v>
      </c>
      <c r="Z305">
        <v>171.9</v>
      </c>
      <c r="AA305">
        <v>157.80000000000001</v>
      </c>
      <c r="AB305">
        <v>162.69999999999999</v>
      </c>
      <c r="AC305">
        <v>168.5</v>
      </c>
      <c r="AD305">
        <v>160.19999999999999</v>
      </c>
      <c r="AE305">
        <v>163.80000000000001</v>
      </c>
      <c r="AF305">
        <v>164</v>
      </c>
      <c r="AG305" s="2">
        <f>AVERAGE(All_India_Index_Upto_April23[[#This Row],[Food]:[General index]])</f>
        <v>241.41500000000002</v>
      </c>
      <c r="AH305" s="7">
        <f>DATE(All_India_Index_Upto_April23[[#This Row],[Year]],MONTH(1&amp;TRIM(All_India_Index_Upto_April23[[#This Row],[Month]])),1)</f>
        <v>44440</v>
      </c>
    </row>
    <row r="306" spans="1:34" x14ac:dyDescent="0.3">
      <c r="A306">
        <v>305</v>
      </c>
      <c r="B306" s="1" t="s">
        <v>33</v>
      </c>
      <c r="C306">
        <v>2021</v>
      </c>
      <c r="D306" s="1" t="s">
        <v>42</v>
      </c>
      <c r="E306" s="2">
        <v>2354.4</v>
      </c>
      <c r="F306">
        <v>149.30000000000001</v>
      </c>
      <c r="G306">
        <v>207.4</v>
      </c>
      <c r="H306">
        <v>174.1</v>
      </c>
      <c r="I306">
        <v>159.1</v>
      </c>
      <c r="J306">
        <v>175</v>
      </c>
      <c r="K306">
        <v>161.19999999999999</v>
      </c>
      <c r="L306">
        <v>183.5</v>
      </c>
      <c r="M306">
        <v>164.5</v>
      </c>
      <c r="N306">
        <v>120.4</v>
      </c>
      <c r="O306">
        <v>166.2</v>
      </c>
      <c r="P306">
        <v>154.80000000000001</v>
      </c>
      <c r="Q306">
        <v>175.1</v>
      </c>
      <c r="R306">
        <v>167.3</v>
      </c>
      <c r="S306">
        <v>196.5</v>
      </c>
      <c r="T306">
        <v>159.80000000000001</v>
      </c>
      <c r="U306">
        <v>143.6</v>
      </c>
      <c r="V306">
        <v>157.4</v>
      </c>
      <c r="W306" s="1">
        <v>162.1</v>
      </c>
      <c r="X306">
        <v>160.80000000000001</v>
      </c>
      <c r="Y306">
        <v>153.30000000000001</v>
      </c>
      <c r="Z306">
        <v>162.80000000000001</v>
      </c>
      <c r="AA306">
        <v>150.5</v>
      </c>
      <c r="AB306">
        <v>153.9</v>
      </c>
      <c r="AC306">
        <v>160.30000000000001</v>
      </c>
      <c r="AD306">
        <v>159.6</v>
      </c>
      <c r="AE306">
        <v>156</v>
      </c>
      <c r="AF306">
        <v>162.30000000000001</v>
      </c>
      <c r="AG306" s="2">
        <f>AVERAGE(All_India_Index_Upto_April23[[#This Row],[Food]:[General index]])</f>
        <v>241.11428571428578</v>
      </c>
      <c r="AH306" s="7">
        <f>DATE(All_India_Index_Upto_April23[[#This Row],[Year]],MONTH(1&amp;TRIM(All_India_Index_Upto_April23[[#This Row],[Month]])),1)</f>
        <v>44440</v>
      </c>
    </row>
    <row r="307" spans="1:34" x14ac:dyDescent="0.3">
      <c r="A307">
        <v>306</v>
      </c>
      <c r="B307" s="1" t="s">
        <v>34</v>
      </c>
      <c r="C307">
        <v>2021</v>
      </c>
      <c r="D307" s="1" t="s">
        <v>42</v>
      </c>
      <c r="E307" s="2">
        <v>2334.1</v>
      </c>
      <c r="F307">
        <v>146.6</v>
      </c>
      <c r="G307">
        <v>204</v>
      </c>
      <c r="H307">
        <v>172.8</v>
      </c>
      <c r="I307">
        <v>158.4</v>
      </c>
      <c r="J307">
        <v>188</v>
      </c>
      <c r="K307">
        <v>156.69999999999999</v>
      </c>
      <c r="L307">
        <v>162.30000000000001</v>
      </c>
      <c r="M307">
        <v>164.1</v>
      </c>
      <c r="N307">
        <v>119.7</v>
      </c>
      <c r="O307">
        <v>168.8</v>
      </c>
      <c r="P307">
        <v>162.69999999999999</v>
      </c>
      <c r="Q307">
        <v>173.9</v>
      </c>
      <c r="R307">
        <v>164</v>
      </c>
      <c r="S307">
        <v>192.1</v>
      </c>
      <c r="T307">
        <v>164.6</v>
      </c>
      <c r="U307">
        <v>155.30000000000001</v>
      </c>
      <c r="V307">
        <v>163.30000000000001</v>
      </c>
      <c r="W307" s="1">
        <v>162.1</v>
      </c>
      <c r="X307">
        <v>162.6</v>
      </c>
      <c r="Y307">
        <v>157.5</v>
      </c>
      <c r="Z307">
        <v>168.4</v>
      </c>
      <c r="AA307">
        <v>154</v>
      </c>
      <c r="AB307">
        <v>157.69999999999999</v>
      </c>
      <c r="AC307">
        <v>163.69999999999999</v>
      </c>
      <c r="AD307">
        <v>160</v>
      </c>
      <c r="AE307">
        <v>160</v>
      </c>
      <c r="AF307">
        <v>163.19999999999999</v>
      </c>
      <c r="AG307" s="2">
        <f>AVERAGE(All_India_Index_Upto_April23[[#This Row],[Food]:[General index]])</f>
        <v>241.45000000000002</v>
      </c>
      <c r="AH307" s="7">
        <f>DATE(All_India_Index_Upto_April23[[#This Row],[Year]],MONTH(1&amp;TRIM(All_India_Index_Upto_April23[[#This Row],[Month]])),1)</f>
        <v>44440</v>
      </c>
    </row>
    <row r="308" spans="1:34" x14ac:dyDescent="0.3">
      <c r="A308">
        <v>307</v>
      </c>
      <c r="B308" s="1" t="s">
        <v>18</v>
      </c>
      <c r="C308">
        <v>2021</v>
      </c>
      <c r="D308" s="1" t="s">
        <v>43</v>
      </c>
      <c r="E308" s="2">
        <v>2355.3999999999996</v>
      </c>
      <c r="F308">
        <v>146.1</v>
      </c>
      <c r="G308">
        <v>202.5</v>
      </c>
      <c r="H308">
        <v>170.1</v>
      </c>
      <c r="I308">
        <v>158.4</v>
      </c>
      <c r="J308">
        <v>198.8</v>
      </c>
      <c r="K308">
        <v>152.6</v>
      </c>
      <c r="L308">
        <v>170.4</v>
      </c>
      <c r="M308">
        <v>165.2</v>
      </c>
      <c r="N308">
        <v>121.6</v>
      </c>
      <c r="O308">
        <v>170.6</v>
      </c>
      <c r="P308">
        <v>168.8</v>
      </c>
      <c r="Q308">
        <v>173.6</v>
      </c>
      <c r="R308">
        <v>165.5</v>
      </c>
      <c r="S308">
        <v>191.2</v>
      </c>
      <c r="T308">
        <v>168.9</v>
      </c>
      <c r="U308">
        <v>164.8</v>
      </c>
      <c r="V308">
        <v>168.3</v>
      </c>
      <c r="W308" s="1">
        <v>139.12</v>
      </c>
      <c r="X308">
        <v>165.5</v>
      </c>
      <c r="Y308">
        <v>162</v>
      </c>
      <c r="Z308">
        <v>172.5</v>
      </c>
      <c r="AA308">
        <v>159.5</v>
      </c>
      <c r="AB308">
        <v>163.19999999999999</v>
      </c>
      <c r="AC308">
        <v>169</v>
      </c>
      <c r="AD308">
        <v>161.1</v>
      </c>
      <c r="AE308">
        <v>164.7</v>
      </c>
      <c r="AF308">
        <v>166.3</v>
      </c>
      <c r="AG308" s="2">
        <f>AVERAGE(All_India_Index_Upto_April23[[#This Row],[Food]:[General index]])</f>
        <v>244.13285714285712</v>
      </c>
      <c r="AH308" s="7">
        <f>DATE(All_India_Index_Upto_April23[[#This Row],[Year]],MONTH(1&amp;TRIM(All_India_Index_Upto_April23[[#This Row],[Month]])),1)</f>
        <v>44470</v>
      </c>
    </row>
    <row r="309" spans="1:34" x14ac:dyDescent="0.3">
      <c r="A309">
        <v>308</v>
      </c>
      <c r="B309" s="1" t="s">
        <v>33</v>
      </c>
      <c r="C309">
        <v>2021</v>
      </c>
      <c r="D309" s="1" t="s">
        <v>43</v>
      </c>
      <c r="E309" s="2">
        <v>2395.4000000000005</v>
      </c>
      <c r="F309">
        <v>150.1</v>
      </c>
      <c r="G309">
        <v>208.4</v>
      </c>
      <c r="H309">
        <v>173</v>
      </c>
      <c r="I309">
        <v>159.19999999999999</v>
      </c>
      <c r="J309">
        <v>176.6</v>
      </c>
      <c r="K309">
        <v>159.30000000000001</v>
      </c>
      <c r="L309">
        <v>214.4</v>
      </c>
      <c r="M309">
        <v>165.3</v>
      </c>
      <c r="N309">
        <v>122.5</v>
      </c>
      <c r="O309">
        <v>166.8</v>
      </c>
      <c r="P309">
        <v>155.4</v>
      </c>
      <c r="Q309">
        <v>175.9</v>
      </c>
      <c r="R309">
        <v>171.5</v>
      </c>
      <c r="S309">
        <v>197</v>
      </c>
      <c r="T309">
        <v>160.80000000000001</v>
      </c>
      <c r="U309">
        <v>144.4</v>
      </c>
      <c r="V309">
        <v>158.30000000000001</v>
      </c>
      <c r="W309" s="1">
        <v>163.6</v>
      </c>
      <c r="X309">
        <v>162.19999999999999</v>
      </c>
      <c r="Y309">
        <v>154.30000000000001</v>
      </c>
      <c r="Z309">
        <v>163.5</v>
      </c>
      <c r="AA309">
        <v>152.19999999999999</v>
      </c>
      <c r="AB309">
        <v>155.1</v>
      </c>
      <c r="AC309">
        <v>160.30000000000001</v>
      </c>
      <c r="AD309">
        <v>160.30000000000001</v>
      </c>
      <c r="AE309">
        <v>157</v>
      </c>
      <c r="AF309">
        <v>164.6</v>
      </c>
      <c r="AG309" s="2">
        <f>AVERAGE(All_India_Index_Upto_April23[[#This Row],[Food]:[General index]])</f>
        <v>244.55000000000004</v>
      </c>
      <c r="AH309" s="7">
        <f>DATE(All_India_Index_Upto_April23[[#This Row],[Year]],MONTH(1&amp;TRIM(All_India_Index_Upto_April23[[#This Row],[Month]])),1)</f>
        <v>44470</v>
      </c>
    </row>
    <row r="310" spans="1:34" x14ac:dyDescent="0.3">
      <c r="A310">
        <v>309</v>
      </c>
      <c r="B310" s="1" t="s">
        <v>34</v>
      </c>
      <c r="C310">
        <v>2021</v>
      </c>
      <c r="D310" s="1" t="s">
        <v>43</v>
      </c>
      <c r="E310" s="2">
        <v>2368.1999999999998</v>
      </c>
      <c r="F310">
        <v>147.4</v>
      </c>
      <c r="G310">
        <v>204.6</v>
      </c>
      <c r="H310">
        <v>171.2</v>
      </c>
      <c r="I310">
        <v>158.69999999999999</v>
      </c>
      <c r="J310">
        <v>190.6</v>
      </c>
      <c r="K310">
        <v>155.69999999999999</v>
      </c>
      <c r="L310">
        <v>185.3</v>
      </c>
      <c r="M310">
        <v>165.2</v>
      </c>
      <c r="N310">
        <v>121.9</v>
      </c>
      <c r="O310">
        <v>169.3</v>
      </c>
      <c r="P310">
        <v>163.19999999999999</v>
      </c>
      <c r="Q310">
        <v>174.7</v>
      </c>
      <c r="R310">
        <v>167.7</v>
      </c>
      <c r="S310">
        <v>192.7</v>
      </c>
      <c r="T310">
        <v>165.7</v>
      </c>
      <c r="U310">
        <v>156.30000000000001</v>
      </c>
      <c r="V310">
        <v>164.3</v>
      </c>
      <c r="W310" s="1">
        <v>163.6</v>
      </c>
      <c r="X310">
        <v>164.2</v>
      </c>
      <c r="Y310">
        <v>158.4</v>
      </c>
      <c r="Z310">
        <v>169.1</v>
      </c>
      <c r="AA310">
        <v>155.69999999999999</v>
      </c>
      <c r="AB310">
        <v>158.6</v>
      </c>
      <c r="AC310">
        <v>163.9</v>
      </c>
      <c r="AD310">
        <v>160.80000000000001</v>
      </c>
      <c r="AE310">
        <v>161</v>
      </c>
      <c r="AF310">
        <v>165.5</v>
      </c>
      <c r="AG310" s="2">
        <f>AVERAGE(All_India_Index_Upto_April23[[#This Row],[Food]:[General index]])</f>
        <v>244.41071428571425</v>
      </c>
      <c r="AH310" s="7">
        <f>DATE(All_India_Index_Upto_April23[[#This Row],[Year]],MONTH(1&amp;TRIM(All_India_Index_Upto_April23[[#This Row],[Month]])),1)</f>
        <v>44470</v>
      </c>
    </row>
    <row r="311" spans="1:34" x14ac:dyDescent="0.3">
      <c r="A311">
        <v>310</v>
      </c>
      <c r="B311" s="1" t="s">
        <v>18</v>
      </c>
      <c r="C311">
        <v>2021</v>
      </c>
      <c r="D311" s="1" t="s">
        <v>45</v>
      </c>
      <c r="E311" s="2">
        <v>2373.4</v>
      </c>
      <c r="F311">
        <v>146.9</v>
      </c>
      <c r="G311">
        <v>199.8</v>
      </c>
      <c r="H311">
        <v>171.5</v>
      </c>
      <c r="I311">
        <v>159.1</v>
      </c>
      <c r="J311">
        <v>198.4</v>
      </c>
      <c r="K311">
        <v>153.19999999999999</v>
      </c>
      <c r="L311">
        <v>183.9</v>
      </c>
      <c r="M311">
        <v>165.4</v>
      </c>
      <c r="N311">
        <v>122.1</v>
      </c>
      <c r="O311">
        <v>170.8</v>
      </c>
      <c r="P311">
        <v>169.1</v>
      </c>
      <c r="Q311">
        <v>174.3</v>
      </c>
      <c r="R311">
        <v>167.5</v>
      </c>
      <c r="S311">
        <v>191.4</v>
      </c>
      <c r="T311">
        <v>170.4</v>
      </c>
      <c r="U311">
        <v>166</v>
      </c>
      <c r="V311">
        <v>169.8</v>
      </c>
      <c r="W311" s="1">
        <v>139.12</v>
      </c>
      <c r="X311">
        <v>165.3</v>
      </c>
      <c r="Y311">
        <v>162.9</v>
      </c>
      <c r="Z311">
        <v>173.4</v>
      </c>
      <c r="AA311">
        <v>158.9</v>
      </c>
      <c r="AB311">
        <v>163.80000000000001</v>
      </c>
      <c r="AC311">
        <v>169.3</v>
      </c>
      <c r="AD311">
        <v>162.4</v>
      </c>
      <c r="AE311">
        <v>165.2</v>
      </c>
      <c r="AF311">
        <v>167.6</v>
      </c>
      <c r="AG311" s="2">
        <f>AVERAGE(All_India_Index_Upto_April23[[#This Row],[Food]:[General index]])</f>
        <v>245.74714285714282</v>
      </c>
      <c r="AH311" s="7">
        <f>DATE(All_India_Index_Upto_April23[[#This Row],[Year]],MONTH(1&amp;TRIM(All_India_Index_Upto_April23[[#This Row],[Month]])),1)</f>
        <v>44501</v>
      </c>
    </row>
    <row r="312" spans="1:34" x14ac:dyDescent="0.3">
      <c r="A312">
        <v>311</v>
      </c>
      <c r="B312" s="1" t="s">
        <v>33</v>
      </c>
      <c r="C312">
        <v>2021</v>
      </c>
      <c r="D312" s="1" t="s">
        <v>45</v>
      </c>
      <c r="E312" s="2">
        <v>2414.8999999999996</v>
      </c>
      <c r="F312">
        <v>151</v>
      </c>
      <c r="G312">
        <v>204.9</v>
      </c>
      <c r="H312">
        <v>175.4</v>
      </c>
      <c r="I312">
        <v>159.6</v>
      </c>
      <c r="J312">
        <v>175.8</v>
      </c>
      <c r="K312">
        <v>160.30000000000001</v>
      </c>
      <c r="L312">
        <v>229.1</v>
      </c>
      <c r="M312">
        <v>165.1</v>
      </c>
      <c r="N312">
        <v>123.1</v>
      </c>
      <c r="O312">
        <v>167.2</v>
      </c>
      <c r="P312">
        <v>156.1</v>
      </c>
      <c r="Q312">
        <v>176.8</v>
      </c>
      <c r="R312">
        <v>173.5</v>
      </c>
      <c r="S312">
        <v>197</v>
      </c>
      <c r="T312">
        <v>162.30000000000001</v>
      </c>
      <c r="U312">
        <v>145.30000000000001</v>
      </c>
      <c r="V312">
        <v>159.69999999999999</v>
      </c>
      <c r="W312" s="1">
        <v>164.2</v>
      </c>
      <c r="X312">
        <v>161.6</v>
      </c>
      <c r="Y312">
        <v>155.19999999999999</v>
      </c>
      <c r="Z312">
        <v>164.2</v>
      </c>
      <c r="AA312">
        <v>151.19999999999999</v>
      </c>
      <c r="AB312">
        <v>156.69999999999999</v>
      </c>
      <c r="AC312">
        <v>160.80000000000001</v>
      </c>
      <c r="AD312">
        <v>161.80000000000001</v>
      </c>
      <c r="AE312">
        <v>157.30000000000001</v>
      </c>
      <c r="AF312">
        <v>165.6</v>
      </c>
      <c r="AG312" s="2">
        <f>AVERAGE(All_India_Index_Upto_April23[[#This Row],[Food]:[General index]])</f>
        <v>246.27500000000003</v>
      </c>
      <c r="AH312" s="7">
        <f>DATE(All_India_Index_Upto_April23[[#This Row],[Year]],MONTH(1&amp;TRIM(All_India_Index_Upto_April23[[#This Row],[Month]])),1)</f>
        <v>44501</v>
      </c>
    </row>
    <row r="313" spans="1:34" x14ac:dyDescent="0.3">
      <c r="A313">
        <v>312</v>
      </c>
      <c r="B313" s="1" t="s">
        <v>34</v>
      </c>
      <c r="C313">
        <v>2021</v>
      </c>
      <c r="D313" s="1" t="s">
        <v>45</v>
      </c>
      <c r="E313" s="2">
        <v>2387</v>
      </c>
      <c r="F313">
        <v>148.19999999999999</v>
      </c>
      <c r="G313">
        <v>201.6</v>
      </c>
      <c r="H313">
        <v>173</v>
      </c>
      <c r="I313">
        <v>159.30000000000001</v>
      </c>
      <c r="J313">
        <v>190.1</v>
      </c>
      <c r="K313">
        <v>156.5</v>
      </c>
      <c r="L313">
        <v>199.2</v>
      </c>
      <c r="M313">
        <v>165.3</v>
      </c>
      <c r="N313">
        <v>122.4</v>
      </c>
      <c r="O313">
        <v>169.6</v>
      </c>
      <c r="P313">
        <v>163.69999999999999</v>
      </c>
      <c r="Q313">
        <v>175.5</v>
      </c>
      <c r="R313">
        <v>169.7</v>
      </c>
      <c r="S313">
        <v>192.9</v>
      </c>
      <c r="T313">
        <v>167.2</v>
      </c>
      <c r="U313">
        <v>157.4</v>
      </c>
      <c r="V313">
        <v>165.8</v>
      </c>
      <c r="W313" s="1">
        <v>164.2</v>
      </c>
      <c r="X313">
        <v>163.9</v>
      </c>
      <c r="Y313">
        <v>159.30000000000001</v>
      </c>
      <c r="Z313">
        <v>169.9</v>
      </c>
      <c r="AA313">
        <v>154.80000000000001</v>
      </c>
      <c r="AB313">
        <v>159.80000000000001</v>
      </c>
      <c r="AC313">
        <v>164.3</v>
      </c>
      <c r="AD313">
        <v>162.19999999999999</v>
      </c>
      <c r="AE313">
        <v>161.4</v>
      </c>
      <c r="AF313">
        <v>166.7</v>
      </c>
      <c r="AG313" s="2">
        <f>AVERAGE(All_India_Index_Upto_April23[[#This Row],[Food]:[General index]])</f>
        <v>246.10357142857134</v>
      </c>
      <c r="AH313" s="7">
        <f>DATE(All_India_Index_Upto_April23[[#This Row],[Year]],MONTH(1&amp;TRIM(All_India_Index_Upto_April23[[#This Row],[Month]])),1)</f>
        <v>44501</v>
      </c>
    </row>
    <row r="314" spans="1:34" x14ac:dyDescent="0.3">
      <c r="A314">
        <v>313</v>
      </c>
      <c r="B314" s="1" t="s">
        <v>18</v>
      </c>
      <c r="C314">
        <v>2021</v>
      </c>
      <c r="D314" s="1" t="s">
        <v>46</v>
      </c>
      <c r="E314" s="2">
        <v>2359</v>
      </c>
      <c r="F314">
        <v>147.4</v>
      </c>
      <c r="G314">
        <v>197</v>
      </c>
      <c r="H314">
        <v>176.5</v>
      </c>
      <c r="I314">
        <v>159.80000000000001</v>
      </c>
      <c r="J314">
        <v>195.8</v>
      </c>
      <c r="K314">
        <v>152</v>
      </c>
      <c r="L314">
        <v>172.3</v>
      </c>
      <c r="M314">
        <v>164.5</v>
      </c>
      <c r="N314">
        <v>120.6</v>
      </c>
      <c r="O314">
        <v>171.7</v>
      </c>
      <c r="P314">
        <v>169.7</v>
      </c>
      <c r="Q314">
        <v>175.1</v>
      </c>
      <c r="R314">
        <v>165.8</v>
      </c>
      <c r="S314">
        <v>190.8</v>
      </c>
      <c r="T314">
        <v>171.8</v>
      </c>
      <c r="U314">
        <v>167.3</v>
      </c>
      <c r="V314">
        <v>171.2</v>
      </c>
      <c r="W314" s="1">
        <v>139.12</v>
      </c>
      <c r="X314">
        <v>165.6</v>
      </c>
      <c r="Y314">
        <v>163.9</v>
      </c>
      <c r="Z314">
        <v>174</v>
      </c>
      <c r="AA314">
        <v>160.1</v>
      </c>
      <c r="AB314">
        <v>164.5</v>
      </c>
      <c r="AC314">
        <v>169.7</v>
      </c>
      <c r="AD314">
        <v>162.80000000000001</v>
      </c>
      <c r="AE314">
        <v>166</v>
      </c>
      <c r="AF314">
        <v>167</v>
      </c>
      <c r="AG314" s="2">
        <f>AVERAGE(All_India_Index_Upto_April23[[#This Row],[Food]:[General index]])</f>
        <v>245.03642857142862</v>
      </c>
      <c r="AH314" s="7">
        <f>DATE(All_India_Index_Upto_April23[[#This Row],[Year]],MONTH(1&amp;TRIM(All_India_Index_Upto_April23[[#This Row],[Month]])),1)</f>
        <v>44531</v>
      </c>
    </row>
    <row r="315" spans="1:34" x14ac:dyDescent="0.3">
      <c r="A315">
        <v>314</v>
      </c>
      <c r="B315" s="1" t="s">
        <v>33</v>
      </c>
      <c r="C315">
        <v>2021</v>
      </c>
      <c r="D315" s="1" t="s">
        <v>46</v>
      </c>
      <c r="E315" s="2">
        <v>2403.1000000000004</v>
      </c>
      <c r="F315">
        <v>151.6</v>
      </c>
      <c r="G315">
        <v>202.2</v>
      </c>
      <c r="H315">
        <v>180</v>
      </c>
      <c r="I315">
        <v>160</v>
      </c>
      <c r="J315">
        <v>173.5</v>
      </c>
      <c r="K315">
        <v>158.30000000000001</v>
      </c>
      <c r="L315">
        <v>219.5</v>
      </c>
      <c r="M315">
        <v>164.2</v>
      </c>
      <c r="N315">
        <v>121.9</v>
      </c>
      <c r="O315">
        <v>168.2</v>
      </c>
      <c r="P315">
        <v>156.5</v>
      </c>
      <c r="Q315">
        <v>178.2</v>
      </c>
      <c r="R315">
        <v>172.2</v>
      </c>
      <c r="S315">
        <v>196.8</v>
      </c>
      <c r="T315">
        <v>163.30000000000001</v>
      </c>
      <c r="U315">
        <v>146.69999999999999</v>
      </c>
      <c r="V315">
        <v>160.69999999999999</v>
      </c>
      <c r="W315" s="1">
        <v>163.4</v>
      </c>
      <c r="X315">
        <v>161.69999999999999</v>
      </c>
      <c r="Y315">
        <v>156</v>
      </c>
      <c r="Z315">
        <v>165.1</v>
      </c>
      <c r="AA315">
        <v>151.80000000000001</v>
      </c>
      <c r="AB315">
        <v>157.6</v>
      </c>
      <c r="AC315">
        <v>160.6</v>
      </c>
      <c r="AD315">
        <v>162.4</v>
      </c>
      <c r="AE315">
        <v>157.80000000000001</v>
      </c>
      <c r="AF315">
        <v>165.2</v>
      </c>
      <c r="AG315" s="2">
        <f>AVERAGE(All_India_Index_Upto_April23[[#This Row],[Food]:[General index]])</f>
        <v>245.66071428571428</v>
      </c>
      <c r="AH315" s="7">
        <f>DATE(All_India_Index_Upto_April23[[#This Row],[Year]],MONTH(1&amp;TRIM(All_India_Index_Upto_April23[[#This Row],[Month]])),1)</f>
        <v>44531</v>
      </c>
    </row>
    <row r="316" spans="1:34" x14ac:dyDescent="0.3">
      <c r="A316">
        <v>315</v>
      </c>
      <c r="B316" s="1" t="s">
        <v>34</v>
      </c>
      <c r="C316">
        <v>2021</v>
      </c>
      <c r="D316" s="1" t="s">
        <v>46</v>
      </c>
      <c r="E316" s="2">
        <v>2373.3000000000002</v>
      </c>
      <c r="F316">
        <v>148.69999999999999</v>
      </c>
      <c r="G316">
        <v>198.8</v>
      </c>
      <c r="H316">
        <v>177.9</v>
      </c>
      <c r="I316">
        <v>159.9</v>
      </c>
      <c r="J316">
        <v>187.6</v>
      </c>
      <c r="K316">
        <v>154.9</v>
      </c>
      <c r="L316">
        <v>188.3</v>
      </c>
      <c r="M316">
        <v>164.4</v>
      </c>
      <c r="N316">
        <v>121</v>
      </c>
      <c r="O316">
        <v>170.5</v>
      </c>
      <c r="P316">
        <v>164.2</v>
      </c>
      <c r="Q316">
        <v>176.5</v>
      </c>
      <c r="R316">
        <v>168.2</v>
      </c>
      <c r="S316">
        <v>192.4</v>
      </c>
      <c r="T316">
        <v>168.5</v>
      </c>
      <c r="U316">
        <v>158.69999999999999</v>
      </c>
      <c r="V316">
        <v>167</v>
      </c>
      <c r="W316" s="1">
        <v>163.4</v>
      </c>
      <c r="X316">
        <v>164.1</v>
      </c>
      <c r="Y316">
        <v>160.19999999999999</v>
      </c>
      <c r="Z316">
        <v>170.6</v>
      </c>
      <c r="AA316">
        <v>155.69999999999999</v>
      </c>
      <c r="AB316">
        <v>160.6</v>
      </c>
      <c r="AC316">
        <v>164.4</v>
      </c>
      <c r="AD316">
        <v>162.6</v>
      </c>
      <c r="AE316">
        <v>162</v>
      </c>
      <c r="AF316">
        <v>166.2</v>
      </c>
      <c r="AG316" s="2">
        <f>AVERAGE(All_India_Index_Upto_April23[[#This Row],[Food]:[General index]])</f>
        <v>245.37857142857143</v>
      </c>
      <c r="AH316" s="7">
        <f>DATE(All_India_Index_Upto_April23[[#This Row],[Year]],MONTH(1&amp;TRIM(All_India_Index_Upto_April23[[#This Row],[Month]])),1)</f>
        <v>44531</v>
      </c>
    </row>
    <row r="317" spans="1:34" x14ac:dyDescent="0.3">
      <c r="A317">
        <v>316</v>
      </c>
      <c r="B317" s="1" t="s">
        <v>18</v>
      </c>
      <c r="C317">
        <v>2022</v>
      </c>
      <c r="D317" s="1" t="s">
        <v>19</v>
      </c>
      <c r="E317" s="2">
        <v>2343.6999999999998</v>
      </c>
      <c r="F317">
        <v>148.30000000000001</v>
      </c>
      <c r="G317">
        <v>196.9</v>
      </c>
      <c r="H317">
        <v>178</v>
      </c>
      <c r="I317">
        <v>160.5</v>
      </c>
      <c r="J317">
        <v>192.6</v>
      </c>
      <c r="K317">
        <v>151.19999999999999</v>
      </c>
      <c r="L317">
        <v>159.19999999999999</v>
      </c>
      <c r="M317">
        <v>164</v>
      </c>
      <c r="N317">
        <v>119.3</v>
      </c>
      <c r="O317">
        <v>173.3</v>
      </c>
      <c r="P317">
        <v>169.8</v>
      </c>
      <c r="Q317">
        <v>175.8</v>
      </c>
      <c r="R317">
        <v>164.1</v>
      </c>
      <c r="S317">
        <v>190.7</v>
      </c>
      <c r="T317">
        <v>173.2</v>
      </c>
      <c r="U317">
        <v>169.3</v>
      </c>
      <c r="V317">
        <v>172.7</v>
      </c>
      <c r="W317" s="1">
        <v>139.12</v>
      </c>
      <c r="X317">
        <v>165.8</v>
      </c>
      <c r="Y317">
        <v>164.9</v>
      </c>
      <c r="Z317">
        <v>174.7</v>
      </c>
      <c r="AA317">
        <v>160.80000000000001</v>
      </c>
      <c r="AB317">
        <v>164.9</v>
      </c>
      <c r="AC317">
        <v>169.9</v>
      </c>
      <c r="AD317">
        <v>163.19999999999999</v>
      </c>
      <c r="AE317">
        <v>166.6</v>
      </c>
      <c r="AF317">
        <v>166.4</v>
      </c>
      <c r="AG317" s="2">
        <f>AVERAGE(All_India_Index_Upto_April23[[#This Row],[Food]:[General index]])</f>
        <v>244.24714285714282</v>
      </c>
      <c r="AH317" s="7">
        <f>DATE(All_India_Index_Upto_April23[[#This Row],[Year]],MONTH(1&amp;TRIM(All_India_Index_Upto_April23[[#This Row],[Month]])),1)</f>
        <v>44562</v>
      </c>
    </row>
    <row r="318" spans="1:34" x14ac:dyDescent="0.3">
      <c r="A318">
        <v>317</v>
      </c>
      <c r="B318" s="1" t="s">
        <v>33</v>
      </c>
      <c r="C318">
        <v>2022</v>
      </c>
      <c r="D318" s="1" t="s">
        <v>19</v>
      </c>
      <c r="E318" s="2">
        <v>2383.1</v>
      </c>
      <c r="F318">
        <v>152.19999999999999</v>
      </c>
      <c r="G318">
        <v>202.1</v>
      </c>
      <c r="H318">
        <v>180.1</v>
      </c>
      <c r="I318">
        <v>160.4</v>
      </c>
      <c r="J318">
        <v>171</v>
      </c>
      <c r="K318">
        <v>156.5</v>
      </c>
      <c r="L318">
        <v>203.6</v>
      </c>
      <c r="M318">
        <v>163.80000000000001</v>
      </c>
      <c r="N318">
        <v>121.3</v>
      </c>
      <c r="O318">
        <v>169.8</v>
      </c>
      <c r="P318">
        <v>156.6</v>
      </c>
      <c r="Q318">
        <v>179</v>
      </c>
      <c r="R318">
        <v>170.3</v>
      </c>
      <c r="S318">
        <v>196.4</v>
      </c>
      <c r="T318">
        <v>164.7</v>
      </c>
      <c r="U318">
        <v>148.5</v>
      </c>
      <c r="V318">
        <v>162.19999999999999</v>
      </c>
      <c r="W318" s="1">
        <v>164.5</v>
      </c>
      <c r="X318">
        <v>161.6</v>
      </c>
      <c r="Y318">
        <v>156.80000000000001</v>
      </c>
      <c r="Z318">
        <v>166.1</v>
      </c>
      <c r="AA318">
        <v>152.69999999999999</v>
      </c>
      <c r="AB318">
        <v>158.4</v>
      </c>
      <c r="AC318">
        <v>161</v>
      </c>
      <c r="AD318">
        <v>162.80000000000001</v>
      </c>
      <c r="AE318">
        <v>158.6</v>
      </c>
      <c r="AF318">
        <v>165</v>
      </c>
      <c r="AG318" s="2">
        <f>AVERAGE(All_India_Index_Upto_April23[[#This Row],[Food]:[General index]])</f>
        <v>244.61071428571429</v>
      </c>
      <c r="AH318" s="7">
        <f>DATE(All_India_Index_Upto_April23[[#This Row],[Year]],MONTH(1&amp;TRIM(All_India_Index_Upto_April23[[#This Row],[Month]])),1)</f>
        <v>44562</v>
      </c>
    </row>
    <row r="319" spans="1:34" x14ac:dyDescent="0.3">
      <c r="A319">
        <v>318</v>
      </c>
      <c r="B319" s="1" t="s">
        <v>34</v>
      </c>
      <c r="C319">
        <v>2022</v>
      </c>
      <c r="D319" s="1" t="s">
        <v>19</v>
      </c>
      <c r="E319" s="2">
        <v>2356.3999999999996</v>
      </c>
      <c r="F319">
        <v>149.5</v>
      </c>
      <c r="G319">
        <v>198.7</v>
      </c>
      <c r="H319">
        <v>178.8</v>
      </c>
      <c r="I319">
        <v>160.5</v>
      </c>
      <c r="J319">
        <v>184.7</v>
      </c>
      <c r="K319">
        <v>153.69999999999999</v>
      </c>
      <c r="L319">
        <v>174.3</v>
      </c>
      <c r="M319">
        <v>163.9</v>
      </c>
      <c r="N319">
        <v>120</v>
      </c>
      <c r="O319">
        <v>172.1</v>
      </c>
      <c r="P319">
        <v>164.3</v>
      </c>
      <c r="Q319">
        <v>177.3</v>
      </c>
      <c r="R319">
        <v>166.4</v>
      </c>
      <c r="S319">
        <v>192.2</v>
      </c>
      <c r="T319">
        <v>169.9</v>
      </c>
      <c r="U319">
        <v>160.69999999999999</v>
      </c>
      <c r="V319">
        <v>168.5</v>
      </c>
      <c r="W319" s="1">
        <v>164.5</v>
      </c>
      <c r="X319">
        <v>164.2</v>
      </c>
      <c r="Y319">
        <v>161.1</v>
      </c>
      <c r="Z319">
        <v>171.4</v>
      </c>
      <c r="AA319">
        <v>156.5</v>
      </c>
      <c r="AB319">
        <v>161.19999999999999</v>
      </c>
      <c r="AC319">
        <v>164.7</v>
      </c>
      <c r="AD319">
        <v>163</v>
      </c>
      <c r="AE319">
        <v>162.69999999999999</v>
      </c>
      <c r="AF319">
        <v>165.7</v>
      </c>
      <c r="AG319" s="2">
        <f>AVERAGE(All_India_Index_Upto_April23[[#This Row],[Food]:[General index]])</f>
        <v>244.53214285714279</v>
      </c>
      <c r="AH319" s="7">
        <f>DATE(All_India_Index_Upto_April23[[#This Row],[Year]],MONTH(1&amp;TRIM(All_India_Index_Upto_April23[[#This Row],[Month]])),1)</f>
        <v>44562</v>
      </c>
    </row>
    <row r="320" spans="1:34" x14ac:dyDescent="0.3">
      <c r="A320">
        <v>319</v>
      </c>
      <c r="B320" s="1" t="s">
        <v>18</v>
      </c>
      <c r="C320">
        <v>2022</v>
      </c>
      <c r="D320" s="1" t="s">
        <v>35</v>
      </c>
      <c r="E320" s="2">
        <v>2341.9</v>
      </c>
      <c r="F320">
        <v>148.80000000000001</v>
      </c>
      <c r="G320">
        <v>198.1</v>
      </c>
      <c r="H320">
        <v>175.5</v>
      </c>
      <c r="I320">
        <v>160.69999999999999</v>
      </c>
      <c r="J320">
        <v>192.6</v>
      </c>
      <c r="K320">
        <v>151.4</v>
      </c>
      <c r="L320">
        <v>155.19999999999999</v>
      </c>
      <c r="M320">
        <v>163.9</v>
      </c>
      <c r="N320">
        <v>118.1</v>
      </c>
      <c r="O320">
        <v>175.4</v>
      </c>
      <c r="P320">
        <v>170.5</v>
      </c>
      <c r="Q320">
        <v>176.3</v>
      </c>
      <c r="R320">
        <v>163.9</v>
      </c>
      <c r="S320">
        <v>191.5</v>
      </c>
      <c r="T320">
        <v>174.1</v>
      </c>
      <c r="U320">
        <v>171</v>
      </c>
      <c r="V320">
        <v>173.7</v>
      </c>
      <c r="W320" s="1">
        <v>139.12</v>
      </c>
      <c r="X320">
        <v>167.4</v>
      </c>
      <c r="Y320">
        <v>165.7</v>
      </c>
      <c r="Z320">
        <v>175.3</v>
      </c>
      <c r="AA320">
        <v>161.19999999999999</v>
      </c>
      <c r="AB320">
        <v>165.5</v>
      </c>
      <c r="AC320">
        <v>170.3</v>
      </c>
      <c r="AD320">
        <v>164.5</v>
      </c>
      <c r="AE320">
        <v>167.3</v>
      </c>
      <c r="AF320">
        <v>166.7</v>
      </c>
      <c r="AG320" s="2">
        <f>AVERAGE(All_India_Index_Upto_April23[[#This Row],[Food]:[General index]])</f>
        <v>244.48642857142858</v>
      </c>
      <c r="AH320" s="7">
        <f>DATE(All_India_Index_Upto_April23[[#This Row],[Year]],MONTH(1&amp;TRIM(All_India_Index_Upto_April23[[#This Row],[Month]])),1)</f>
        <v>44593</v>
      </c>
    </row>
    <row r="321" spans="1:34" x14ac:dyDescent="0.3">
      <c r="A321">
        <v>320</v>
      </c>
      <c r="B321" s="1" t="s">
        <v>33</v>
      </c>
      <c r="C321">
        <v>2022</v>
      </c>
      <c r="D321" s="1" t="s">
        <v>35</v>
      </c>
      <c r="E321" s="2">
        <v>2380</v>
      </c>
      <c r="F321">
        <v>152.5</v>
      </c>
      <c r="G321">
        <v>205.2</v>
      </c>
      <c r="H321">
        <v>176.4</v>
      </c>
      <c r="I321">
        <v>160.6</v>
      </c>
      <c r="J321">
        <v>171.5</v>
      </c>
      <c r="K321">
        <v>156.4</v>
      </c>
      <c r="L321">
        <v>198</v>
      </c>
      <c r="M321">
        <v>163.19999999999999</v>
      </c>
      <c r="N321">
        <v>120.6</v>
      </c>
      <c r="O321">
        <v>172.2</v>
      </c>
      <c r="P321">
        <v>156.69999999999999</v>
      </c>
      <c r="Q321">
        <v>180</v>
      </c>
      <c r="R321">
        <v>170.2</v>
      </c>
      <c r="S321">
        <v>196.5</v>
      </c>
      <c r="T321">
        <v>165.7</v>
      </c>
      <c r="U321">
        <v>150.4</v>
      </c>
      <c r="V321">
        <v>163.4</v>
      </c>
      <c r="W321" s="1">
        <v>165.5</v>
      </c>
      <c r="X321">
        <v>163</v>
      </c>
      <c r="Y321">
        <v>157.4</v>
      </c>
      <c r="Z321">
        <v>167.2</v>
      </c>
      <c r="AA321">
        <v>153.1</v>
      </c>
      <c r="AB321">
        <v>159.5</v>
      </c>
      <c r="AC321">
        <v>162</v>
      </c>
      <c r="AD321">
        <v>164.2</v>
      </c>
      <c r="AE321">
        <v>159.4</v>
      </c>
      <c r="AF321">
        <v>165.5</v>
      </c>
      <c r="AG321" s="2">
        <f>AVERAGE(All_India_Index_Upto_April23[[#This Row],[Food]:[General index]])</f>
        <v>244.86785714285705</v>
      </c>
      <c r="AH321" s="7">
        <f>DATE(All_India_Index_Upto_April23[[#This Row],[Year]],MONTH(1&amp;TRIM(All_India_Index_Upto_April23[[#This Row],[Month]])),1)</f>
        <v>44593</v>
      </c>
    </row>
    <row r="322" spans="1:34" x14ac:dyDescent="0.3">
      <c r="A322">
        <v>321</v>
      </c>
      <c r="B322" s="1" t="s">
        <v>34</v>
      </c>
      <c r="C322">
        <v>2022</v>
      </c>
      <c r="D322" s="1" t="s">
        <v>35</v>
      </c>
      <c r="E322" s="2">
        <v>2354.0000000000005</v>
      </c>
      <c r="F322">
        <v>150</v>
      </c>
      <c r="G322">
        <v>200.6</v>
      </c>
      <c r="H322">
        <v>175.8</v>
      </c>
      <c r="I322">
        <v>160.69999999999999</v>
      </c>
      <c r="J322">
        <v>184.9</v>
      </c>
      <c r="K322">
        <v>153.69999999999999</v>
      </c>
      <c r="L322">
        <v>169.7</v>
      </c>
      <c r="M322">
        <v>163.69999999999999</v>
      </c>
      <c r="N322">
        <v>118.9</v>
      </c>
      <c r="O322">
        <v>174.3</v>
      </c>
      <c r="P322">
        <v>164.7</v>
      </c>
      <c r="Q322">
        <v>178</v>
      </c>
      <c r="R322">
        <v>166.2</v>
      </c>
      <c r="S322">
        <v>192.8</v>
      </c>
      <c r="T322">
        <v>170.8</v>
      </c>
      <c r="U322">
        <v>162.4</v>
      </c>
      <c r="V322">
        <v>169.6</v>
      </c>
      <c r="W322" s="1">
        <v>165.5</v>
      </c>
      <c r="X322">
        <v>165.7</v>
      </c>
      <c r="Y322">
        <v>161.80000000000001</v>
      </c>
      <c r="Z322">
        <v>172.2</v>
      </c>
      <c r="AA322">
        <v>156.9</v>
      </c>
      <c r="AB322">
        <v>162.1</v>
      </c>
      <c r="AC322">
        <v>165.4</v>
      </c>
      <c r="AD322">
        <v>164.4</v>
      </c>
      <c r="AE322">
        <v>163.5</v>
      </c>
      <c r="AF322">
        <v>166.1</v>
      </c>
      <c r="AG322" s="2">
        <f>AVERAGE(All_India_Index_Upto_April23[[#This Row],[Food]:[General index]])</f>
        <v>244.79999999999998</v>
      </c>
      <c r="AH322" s="7">
        <f>DATE(All_India_Index_Upto_April23[[#This Row],[Year]],MONTH(1&amp;TRIM(All_India_Index_Upto_April23[[#This Row],[Month]])),1)</f>
        <v>44593</v>
      </c>
    </row>
    <row r="323" spans="1:34" x14ac:dyDescent="0.3">
      <c r="A323">
        <v>322</v>
      </c>
      <c r="B323" s="1" t="s">
        <v>18</v>
      </c>
      <c r="C323">
        <v>2022</v>
      </c>
      <c r="D323" s="1" t="s">
        <v>36</v>
      </c>
      <c r="E323" s="2">
        <v>2371.4000000000005</v>
      </c>
      <c r="F323">
        <v>150.19999999999999</v>
      </c>
      <c r="G323">
        <v>208</v>
      </c>
      <c r="H323">
        <v>167.9</v>
      </c>
      <c r="I323">
        <v>162</v>
      </c>
      <c r="J323">
        <v>203.1</v>
      </c>
      <c r="K323">
        <v>155.9</v>
      </c>
      <c r="L323">
        <v>155.80000000000001</v>
      </c>
      <c r="M323">
        <v>164.2</v>
      </c>
      <c r="N323">
        <v>118.1</v>
      </c>
      <c r="O323">
        <v>178.7</v>
      </c>
      <c r="P323">
        <v>171.2</v>
      </c>
      <c r="Q323">
        <v>177.4</v>
      </c>
      <c r="R323">
        <v>166.6</v>
      </c>
      <c r="S323">
        <v>192.3</v>
      </c>
      <c r="T323">
        <v>175.4</v>
      </c>
      <c r="U323">
        <v>173.2</v>
      </c>
      <c r="V323">
        <v>175.1</v>
      </c>
      <c r="W323" s="1">
        <v>139.12</v>
      </c>
      <c r="X323">
        <v>168.9</v>
      </c>
      <c r="Y323">
        <v>166.5</v>
      </c>
      <c r="Z323">
        <v>176</v>
      </c>
      <c r="AA323">
        <v>162</v>
      </c>
      <c r="AB323">
        <v>166.6</v>
      </c>
      <c r="AC323">
        <v>170.6</v>
      </c>
      <c r="AD323">
        <v>167.4</v>
      </c>
      <c r="AE323">
        <v>168.3</v>
      </c>
      <c r="AF323">
        <v>168.7</v>
      </c>
      <c r="AG323" s="2">
        <f>AVERAGE(All_India_Index_Upto_April23[[#This Row],[Food]:[General index]])</f>
        <v>247.16499999999999</v>
      </c>
      <c r="AH323" s="7">
        <f>DATE(All_India_Index_Upto_April23[[#This Row],[Year]],MONTH(1&amp;TRIM(All_India_Index_Upto_April23[[#This Row],[Month]])),1)</f>
        <v>44621</v>
      </c>
    </row>
    <row r="324" spans="1:34" x14ac:dyDescent="0.3">
      <c r="A324">
        <v>323</v>
      </c>
      <c r="B324" s="1" t="s">
        <v>33</v>
      </c>
      <c r="C324">
        <v>2022</v>
      </c>
      <c r="D324" s="1" t="s">
        <v>36</v>
      </c>
      <c r="E324" s="2">
        <v>2393.8000000000002</v>
      </c>
      <c r="F324">
        <v>153.69999999999999</v>
      </c>
      <c r="G324">
        <v>215.8</v>
      </c>
      <c r="H324">
        <v>167.7</v>
      </c>
      <c r="I324">
        <v>162.6</v>
      </c>
      <c r="J324">
        <v>180</v>
      </c>
      <c r="K324">
        <v>159.6</v>
      </c>
      <c r="L324">
        <v>188.4</v>
      </c>
      <c r="M324">
        <v>163.4</v>
      </c>
      <c r="N324">
        <v>120.3</v>
      </c>
      <c r="O324">
        <v>174.7</v>
      </c>
      <c r="P324">
        <v>157.1</v>
      </c>
      <c r="Q324">
        <v>181.5</v>
      </c>
      <c r="R324">
        <v>171.5</v>
      </c>
      <c r="S324">
        <v>197.5</v>
      </c>
      <c r="T324">
        <v>167.1</v>
      </c>
      <c r="U324">
        <v>152.6</v>
      </c>
      <c r="V324">
        <v>164.9</v>
      </c>
      <c r="W324" s="1">
        <v>165.3</v>
      </c>
      <c r="X324">
        <v>164.5</v>
      </c>
      <c r="Y324">
        <v>158.6</v>
      </c>
      <c r="Z324">
        <v>168.2</v>
      </c>
      <c r="AA324">
        <v>154.19999999999999</v>
      </c>
      <c r="AB324">
        <v>160.80000000000001</v>
      </c>
      <c r="AC324">
        <v>162.69999999999999</v>
      </c>
      <c r="AD324">
        <v>166.8</v>
      </c>
      <c r="AE324">
        <v>160.6</v>
      </c>
      <c r="AF324">
        <v>166.5</v>
      </c>
      <c r="AG324" s="2">
        <f>AVERAGE(All_India_Index_Upto_April23[[#This Row],[Food]:[General index]])</f>
        <v>246.44285714285721</v>
      </c>
      <c r="AH324" s="7">
        <f>DATE(All_India_Index_Upto_April23[[#This Row],[Year]],MONTH(1&amp;TRIM(All_India_Index_Upto_April23[[#This Row],[Month]])),1)</f>
        <v>44621</v>
      </c>
    </row>
    <row r="325" spans="1:34" x14ac:dyDescent="0.3">
      <c r="A325">
        <v>324</v>
      </c>
      <c r="B325" s="1" t="s">
        <v>34</v>
      </c>
      <c r="C325">
        <v>2022</v>
      </c>
      <c r="D325" s="1" t="s">
        <v>36</v>
      </c>
      <c r="E325" s="2">
        <v>2377.9</v>
      </c>
      <c r="F325">
        <v>151.30000000000001</v>
      </c>
      <c r="G325">
        <v>210.7</v>
      </c>
      <c r="H325">
        <v>167.8</v>
      </c>
      <c r="I325">
        <v>162.19999999999999</v>
      </c>
      <c r="J325">
        <v>194.6</v>
      </c>
      <c r="K325">
        <v>157.6</v>
      </c>
      <c r="L325">
        <v>166.9</v>
      </c>
      <c r="M325">
        <v>163.9</v>
      </c>
      <c r="N325">
        <v>118.8</v>
      </c>
      <c r="O325">
        <v>177.4</v>
      </c>
      <c r="P325">
        <v>165.3</v>
      </c>
      <c r="Q325">
        <v>179.3</v>
      </c>
      <c r="R325">
        <v>168.4</v>
      </c>
      <c r="S325">
        <v>193.7</v>
      </c>
      <c r="T325">
        <v>172.1</v>
      </c>
      <c r="U325">
        <v>164.6</v>
      </c>
      <c r="V325">
        <v>171.1</v>
      </c>
      <c r="W325" s="1">
        <v>165.3</v>
      </c>
      <c r="X325">
        <v>167.2</v>
      </c>
      <c r="Y325">
        <v>162.80000000000001</v>
      </c>
      <c r="Z325">
        <v>173</v>
      </c>
      <c r="AA325">
        <v>157.9</v>
      </c>
      <c r="AB325">
        <v>163.30000000000001</v>
      </c>
      <c r="AC325">
        <v>166</v>
      </c>
      <c r="AD325">
        <v>167.2</v>
      </c>
      <c r="AE325">
        <v>164.6</v>
      </c>
      <c r="AF325">
        <v>167.7</v>
      </c>
      <c r="AG325" s="2">
        <f>AVERAGE(All_India_Index_Upto_April23[[#This Row],[Food]:[General index]])</f>
        <v>247.09285714285718</v>
      </c>
      <c r="AH325" s="7">
        <f>DATE(All_India_Index_Upto_April23[[#This Row],[Year]],MONTH(1&amp;TRIM(All_India_Index_Upto_April23[[#This Row],[Month]])),1)</f>
        <v>44621</v>
      </c>
    </row>
    <row r="326" spans="1:34" x14ac:dyDescent="0.3">
      <c r="A326">
        <v>325</v>
      </c>
      <c r="B326" s="1" t="s">
        <v>18</v>
      </c>
      <c r="C326">
        <v>2022</v>
      </c>
      <c r="D326" s="1" t="s">
        <v>37</v>
      </c>
      <c r="E326" s="2">
        <v>2399.4</v>
      </c>
      <c r="F326">
        <v>151.80000000000001</v>
      </c>
      <c r="G326">
        <v>209.7</v>
      </c>
      <c r="H326">
        <v>164.5</v>
      </c>
      <c r="I326">
        <v>163.80000000000001</v>
      </c>
      <c r="J326">
        <v>207.4</v>
      </c>
      <c r="K326">
        <v>169.7</v>
      </c>
      <c r="L326">
        <v>153.6</v>
      </c>
      <c r="M326">
        <v>165.1</v>
      </c>
      <c r="N326">
        <v>118.2</v>
      </c>
      <c r="O326">
        <v>182.9</v>
      </c>
      <c r="P326">
        <v>172.4</v>
      </c>
      <c r="Q326">
        <v>178.9</v>
      </c>
      <c r="R326">
        <v>168.6</v>
      </c>
      <c r="S326">
        <v>192.8</v>
      </c>
      <c r="T326">
        <v>177.5</v>
      </c>
      <c r="U326">
        <v>175.1</v>
      </c>
      <c r="V326">
        <v>177.1</v>
      </c>
      <c r="W326" s="1">
        <v>139.12</v>
      </c>
      <c r="X326">
        <v>173.3</v>
      </c>
      <c r="Y326">
        <v>167.7</v>
      </c>
      <c r="Z326">
        <v>177</v>
      </c>
      <c r="AA326">
        <v>166.2</v>
      </c>
      <c r="AB326">
        <v>167.2</v>
      </c>
      <c r="AC326">
        <v>170.9</v>
      </c>
      <c r="AD326">
        <v>169</v>
      </c>
      <c r="AE326">
        <v>170.2</v>
      </c>
      <c r="AF326">
        <v>170.8</v>
      </c>
      <c r="AG326" s="2">
        <f>AVERAGE(All_India_Index_Upto_April23[[#This Row],[Food]:[General index]])</f>
        <v>249.99714285714285</v>
      </c>
      <c r="AH326" s="7">
        <f>DATE(All_India_Index_Upto_April23[[#This Row],[Year]],MONTH(1&amp;TRIM(All_India_Index_Upto_April23[[#This Row],[Month]])),1)</f>
        <v>44652</v>
      </c>
    </row>
    <row r="327" spans="1:34" x14ac:dyDescent="0.3">
      <c r="A327">
        <v>326</v>
      </c>
      <c r="B327" s="1" t="s">
        <v>33</v>
      </c>
      <c r="C327">
        <v>2022</v>
      </c>
      <c r="D327" s="1" t="s">
        <v>37</v>
      </c>
      <c r="E327" s="2">
        <v>2427.5</v>
      </c>
      <c r="F327">
        <v>155.4</v>
      </c>
      <c r="G327">
        <v>215.8</v>
      </c>
      <c r="H327">
        <v>164.6</v>
      </c>
      <c r="I327">
        <v>164.2</v>
      </c>
      <c r="J327">
        <v>186</v>
      </c>
      <c r="K327">
        <v>175.9</v>
      </c>
      <c r="L327">
        <v>190.7</v>
      </c>
      <c r="M327">
        <v>164</v>
      </c>
      <c r="N327">
        <v>120.5</v>
      </c>
      <c r="O327">
        <v>178</v>
      </c>
      <c r="P327">
        <v>157.5</v>
      </c>
      <c r="Q327">
        <v>183.3</v>
      </c>
      <c r="R327">
        <v>174.5</v>
      </c>
      <c r="S327">
        <v>197.1</v>
      </c>
      <c r="T327">
        <v>168.4</v>
      </c>
      <c r="U327">
        <v>154.5</v>
      </c>
      <c r="V327">
        <v>166.3</v>
      </c>
      <c r="W327" s="1">
        <v>167</v>
      </c>
      <c r="X327">
        <v>170.5</v>
      </c>
      <c r="Y327">
        <v>159.80000000000001</v>
      </c>
      <c r="Z327">
        <v>169</v>
      </c>
      <c r="AA327">
        <v>159.30000000000001</v>
      </c>
      <c r="AB327">
        <v>162.19999999999999</v>
      </c>
      <c r="AC327">
        <v>164</v>
      </c>
      <c r="AD327">
        <v>168.4</v>
      </c>
      <c r="AE327">
        <v>163.1</v>
      </c>
      <c r="AF327">
        <v>169.2</v>
      </c>
      <c r="AG327" s="2">
        <f>AVERAGE(All_India_Index_Upto_April23[[#This Row],[Food]:[General index]])</f>
        <v>249.8821428571429</v>
      </c>
      <c r="AH327" s="7">
        <f>DATE(All_India_Index_Upto_April23[[#This Row],[Year]],MONTH(1&amp;TRIM(All_India_Index_Upto_April23[[#This Row],[Month]])),1)</f>
        <v>44652</v>
      </c>
    </row>
    <row r="328" spans="1:34" x14ac:dyDescent="0.3">
      <c r="A328">
        <v>327</v>
      </c>
      <c r="B328" s="1" t="s">
        <v>34</v>
      </c>
      <c r="C328">
        <v>2022</v>
      </c>
      <c r="D328" s="1" t="s">
        <v>37</v>
      </c>
      <c r="E328" s="2">
        <v>2408.2000000000003</v>
      </c>
      <c r="F328">
        <v>152.9</v>
      </c>
      <c r="G328">
        <v>211.8</v>
      </c>
      <c r="H328">
        <v>164.5</v>
      </c>
      <c r="I328">
        <v>163.9</v>
      </c>
      <c r="J328">
        <v>199.5</v>
      </c>
      <c r="K328">
        <v>172.6</v>
      </c>
      <c r="L328">
        <v>166.2</v>
      </c>
      <c r="M328">
        <v>164.7</v>
      </c>
      <c r="N328">
        <v>119</v>
      </c>
      <c r="O328">
        <v>181.3</v>
      </c>
      <c r="P328">
        <v>166.2</v>
      </c>
      <c r="Q328">
        <v>180.9</v>
      </c>
      <c r="R328">
        <v>170.8</v>
      </c>
      <c r="S328">
        <v>193.9</v>
      </c>
      <c r="T328">
        <v>173.9</v>
      </c>
      <c r="U328">
        <v>166.5</v>
      </c>
      <c r="V328">
        <v>172.8</v>
      </c>
      <c r="W328" s="1">
        <v>167</v>
      </c>
      <c r="X328">
        <v>172.2</v>
      </c>
      <c r="Y328">
        <v>164</v>
      </c>
      <c r="Z328">
        <v>174</v>
      </c>
      <c r="AA328">
        <v>162.6</v>
      </c>
      <c r="AB328">
        <v>164.4</v>
      </c>
      <c r="AC328">
        <v>166.9</v>
      </c>
      <c r="AD328">
        <v>168.8</v>
      </c>
      <c r="AE328">
        <v>166.8</v>
      </c>
      <c r="AF328">
        <v>170.1</v>
      </c>
      <c r="AG328" s="2">
        <f>AVERAGE(All_India_Index_Upto_April23[[#This Row],[Food]:[General index]])</f>
        <v>250.22857142857143</v>
      </c>
      <c r="AH328" s="7">
        <f>DATE(All_India_Index_Upto_April23[[#This Row],[Year]],MONTH(1&amp;TRIM(All_India_Index_Upto_April23[[#This Row],[Month]])),1)</f>
        <v>44652</v>
      </c>
    </row>
    <row r="329" spans="1:34" x14ac:dyDescent="0.3">
      <c r="A329">
        <v>328</v>
      </c>
      <c r="B329" s="1" t="s">
        <v>18</v>
      </c>
      <c r="C329">
        <v>2022</v>
      </c>
      <c r="D329" s="1" t="s">
        <v>38</v>
      </c>
      <c r="E329" s="2">
        <v>2419.7000000000003</v>
      </c>
      <c r="F329">
        <v>152.9</v>
      </c>
      <c r="G329">
        <v>214.7</v>
      </c>
      <c r="H329">
        <v>161.4</v>
      </c>
      <c r="I329">
        <v>164.6</v>
      </c>
      <c r="J329">
        <v>209.9</v>
      </c>
      <c r="K329">
        <v>168</v>
      </c>
      <c r="L329">
        <v>160.4</v>
      </c>
      <c r="M329">
        <v>165</v>
      </c>
      <c r="N329">
        <v>118.9</v>
      </c>
      <c r="O329">
        <v>186.6</v>
      </c>
      <c r="P329">
        <v>173.2</v>
      </c>
      <c r="Q329">
        <v>180.4</v>
      </c>
      <c r="R329">
        <v>170.8</v>
      </c>
      <c r="S329">
        <v>192.9</v>
      </c>
      <c r="T329">
        <v>179.3</v>
      </c>
      <c r="U329">
        <v>177.2</v>
      </c>
      <c r="V329">
        <v>179</v>
      </c>
      <c r="W329" s="1">
        <v>139.12</v>
      </c>
      <c r="X329">
        <v>175.3</v>
      </c>
      <c r="Y329">
        <v>168.9</v>
      </c>
      <c r="Z329">
        <v>177.7</v>
      </c>
      <c r="AA329">
        <v>167.1</v>
      </c>
      <c r="AB329">
        <v>167.6</v>
      </c>
      <c r="AC329">
        <v>171.8</v>
      </c>
      <c r="AD329">
        <v>168.5</v>
      </c>
      <c r="AE329">
        <v>170.9</v>
      </c>
      <c r="AF329">
        <v>172.5</v>
      </c>
      <c r="AG329" s="2">
        <f>AVERAGE(All_India_Index_Upto_April23[[#This Row],[Food]:[General index]])</f>
        <v>251.94</v>
      </c>
      <c r="AH329" s="7">
        <f>DATE(All_India_Index_Upto_April23[[#This Row],[Year]],MONTH(1&amp;TRIM(All_India_Index_Upto_April23[[#This Row],[Month]])),1)</f>
        <v>44682</v>
      </c>
    </row>
    <row r="330" spans="1:34" x14ac:dyDescent="0.3">
      <c r="A330">
        <v>329</v>
      </c>
      <c r="B330" s="1" t="s">
        <v>33</v>
      </c>
      <c r="C330">
        <v>2022</v>
      </c>
      <c r="D330" s="1" t="s">
        <v>38</v>
      </c>
      <c r="E330" s="2">
        <v>2459.7000000000003</v>
      </c>
      <c r="F330">
        <v>156.69999999999999</v>
      </c>
      <c r="G330">
        <v>221.2</v>
      </c>
      <c r="H330">
        <v>164.1</v>
      </c>
      <c r="I330">
        <v>165.4</v>
      </c>
      <c r="J330">
        <v>189.5</v>
      </c>
      <c r="K330">
        <v>174.5</v>
      </c>
      <c r="L330">
        <v>203.2</v>
      </c>
      <c r="M330">
        <v>164.1</v>
      </c>
      <c r="N330">
        <v>121.2</v>
      </c>
      <c r="O330">
        <v>181.4</v>
      </c>
      <c r="P330">
        <v>158.5</v>
      </c>
      <c r="Q330">
        <v>184.9</v>
      </c>
      <c r="R330">
        <v>177.5</v>
      </c>
      <c r="S330">
        <v>197.5</v>
      </c>
      <c r="T330">
        <v>170</v>
      </c>
      <c r="U330">
        <v>155.9</v>
      </c>
      <c r="V330">
        <v>167.8</v>
      </c>
      <c r="W330" s="1">
        <v>167.5</v>
      </c>
      <c r="X330">
        <v>173.5</v>
      </c>
      <c r="Y330">
        <v>161.1</v>
      </c>
      <c r="Z330">
        <v>170.1</v>
      </c>
      <c r="AA330">
        <v>159.4</v>
      </c>
      <c r="AB330">
        <v>163.19999999999999</v>
      </c>
      <c r="AC330">
        <v>165.2</v>
      </c>
      <c r="AD330">
        <v>168.2</v>
      </c>
      <c r="AE330">
        <v>163.80000000000001</v>
      </c>
      <c r="AF330">
        <v>170.8</v>
      </c>
      <c r="AG330" s="2">
        <f>AVERAGE(All_India_Index_Upto_April23[[#This Row],[Food]:[General index]])</f>
        <v>252.71071428571423</v>
      </c>
      <c r="AH330" s="7">
        <f>DATE(All_India_Index_Upto_April23[[#This Row],[Year]],MONTH(1&amp;TRIM(All_India_Index_Upto_April23[[#This Row],[Month]])),1)</f>
        <v>44682</v>
      </c>
    </row>
    <row r="331" spans="1:34" x14ac:dyDescent="0.3">
      <c r="A331">
        <v>330</v>
      </c>
      <c r="B331" s="1" t="s">
        <v>34</v>
      </c>
      <c r="C331">
        <v>2022</v>
      </c>
      <c r="D331" s="1" t="s">
        <v>38</v>
      </c>
      <c r="E331" s="2">
        <v>2433.0000000000005</v>
      </c>
      <c r="F331">
        <v>154.1</v>
      </c>
      <c r="G331">
        <v>217</v>
      </c>
      <c r="H331">
        <v>162.4</v>
      </c>
      <c r="I331">
        <v>164.9</v>
      </c>
      <c r="J331">
        <v>202.4</v>
      </c>
      <c r="K331">
        <v>171</v>
      </c>
      <c r="L331">
        <v>174.9</v>
      </c>
      <c r="M331">
        <v>164.7</v>
      </c>
      <c r="N331">
        <v>119.7</v>
      </c>
      <c r="O331">
        <v>184.9</v>
      </c>
      <c r="P331">
        <v>167.1</v>
      </c>
      <c r="Q331">
        <v>182.5</v>
      </c>
      <c r="R331">
        <v>173.3</v>
      </c>
      <c r="S331">
        <v>194.1</v>
      </c>
      <c r="T331">
        <v>175.6</v>
      </c>
      <c r="U331">
        <v>168.4</v>
      </c>
      <c r="V331">
        <v>174.6</v>
      </c>
      <c r="W331" s="1">
        <v>167.5</v>
      </c>
      <c r="X331">
        <v>174.6</v>
      </c>
      <c r="Y331">
        <v>165.2</v>
      </c>
      <c r="Z331">
        <v>174.8</v>
      </c>
      <c r="AA331">
        <v>163</v>
      </c>
      <c r="AB331">
        <v>165.1</v>
      </c>
      <c r="AC331">
        <v>167.9</v>
      </c>
      <c r="AD331">
        <v>168.4</v>
      </c>
      <c r="AE331">
        <v>167.5</v>
      </c>
      <c r="AF331">
        <v>171.7</v>
      </c>
      <c r="AG331" s="2">
        <f>AVERAGE(All_India_Index_Upto_April23[[#This Row],[Food]:[General index]])</f>
        <v>252.51071428571433</v>
      </c>
      <c r="AH331" s="7">
        <f>DATE(All_India_Index_Upto_April23[[#This Row],[Year]],MONTH(1&amp;TRIM(All_India_Index_Upto_April23[[#This Row],[Month]])),1)</f>
        <v>44682</v>
      </c>
    </row>
    <row r="332" spans="1:34" x14ac:dyDescent="0.3">
      <c r="A332">
        <v>331</v>
      </c>
      <c r="B332" s="1" t="s">
        <v>18</v>
      </c>
      <c r="C332">
        <v>2022</v>
      </c>
      <c r="D332" s="1" t="s">
        <v>39</v>
      </c>
      <c r="E332" s="2">
        <v>2441.2000000000003</v>
      </c>
      <c r="F332">
        <v>153.80000000000001</v>
      </c>
      <c r="G332">
        <v>217.2</v>
      </c>
      <c r="H332">
        <v>169.6</v>
      </c>
      <c r="I332">
        <v>165.4</v>
      </c>
      <c r="J332">
        <v>208.1</v>
      </c>
      <c r="K332">
        <v>165.8</v>
      </c>
      <c r="L332">
        <v>167.3</v>
      </c>
      <c r="M332">
        <v>164.6</v>
      </c>
      <c r="N332">
        <v>119.1</v>
      </c>
      <c r="O332">
        <v>188.9</v>
      </c>
      <c r="P332">
        <v>174.2</v>
      </c>
      <c r="Q332">
        <v>181.9</v>
      </c>
      <c r="R332">
        <v>172.4</v>
      </c>
      <c r="S332">
        <v>192.9</v>
      </c>
      <c r="T332">
        <v>180.7</v>
      </c>
      <c r="U332">
        <v>178.7</v>
      </c>
      <c r="V332">
        <v>180.4</v>
      </c>
      <c r="W332" s="1">
        <v>139.12</v>
      </c>
      <c r="X332">
        <v>176.7</v>
      </c>
      <c r="Y332">
        <v>170.3</v>
      </c>
      <c r="Z332">
        <v>178.2</v>
      </c>
      <c r="AA332">
        <v>165.5</v>
      </c>
      <c r="AB332">
        <v>168</v>
      </c>
      <c r="AC332">
        <v>172.6</v>
      </c>
      <c r="AD332">
        <v>169.5</v>
      </c>
      <c r="AE332">
        <v>171</v>
      </c>
      <c r="AF332">
        <v>173.6</v>
      </c>
      <c r="AG332" s="2">
        <f>AVERAGE(All_India_Index_Upto_April23[[#This Row],[Food]:[General index]])</f>
        <v>253.81142857142851</v>
      </c>
      <c r="AH332" s="7">
        <f>DATE(All_India_Index_Upto_April23[[#This Row],[Year]],MONTH(1&amp;TRIM(All_India_Index_Upto_April23[[#This Row],[Month]])),1)</f>
        <v>44713</v>
      </c>
    </row>
    <row r="333" spans="1:34" x14ac:dyDescent="0.3">
      <c r="A333">
        <v>332</v>
      </c>
      <c r="B333" s="1" t="s">
        <v>33</v>
      </c>
      <c r="C333">
        <v>2022</v>
      </c>
      <c r="D333" s="1" t="s">
        <v>39</v>
      </c>
      <c r="E333" s="2">
        <v>2485.8000000000002</v>
      </c>
      <c r="F333">
        <v>157.5</v>
      </c>
      <c r="G333">
        <v>223.4</v>
      </c>
      <c r="H333">
        <v>172.8</v>
      </c>
      <c r="I333">
        <v>166.4</v>
      </c>
      <c r="J333">
        <v>188.6</v>
      </c>
      <c r="K333">
        <v>174.1</v>
      </c>
      <c r="L333">
        <v>211.5</v>
      </c>
      <c r="M333">
        <v>163.6</v>
      </c>
      <c r="N333">
        <v>121.4</v>
      </c>
      <c r="O333">
        <v>183.5</v>
      </c>
      <c r="P333">
        <v>159.1</v>
      </c>
      <c r="Q333">
        <v>186.3</v>
      </c>
      <c r="R333">
        <v>179.3</v>
      </c>
      <c r="S333">
        <v>198.3</v>
      </c>
      <c r="T333">
        <v>171.6</v>
      </c>
      <c r="U333">
        <v>157.4</v>
      </c>
      <c r="V333">
        <v>169.4</v>
      </c>
      <c r="W333" s="1">
        <v>166.8</v>
      </c>
      <c r="X333">
        <v>174.9</v>
      </c>
      <c r="Y333">
        <v>162.1</v>
      </c>
      <c r="Z333">
        <v>170.9</v>
      </c>
      <c r="AA333">
        <v>157.19999999999999</v>
      </c>
      <c r="AB333">
        <v>164.1</v>
      </c>
      <c r="AC333">
        <v>166.5</v>
      </c>
      <c r="AD333">
        <v>169.2</v>
      </c>
      <c r="AE333">
        <v>163.80000000000001</v>
      </c>
      <c r="AF333">
        <v>171.4</v>
      </c>
      <c r="AG333" s="2">
        <f>AVERAGE(All_India_Index_Upto_April23[[#This Row],[Food]:[General index]])</f>
        <v>254.88928571428573</v>
      </c>
      <c r="AH333" s="7">
        <f>DATE(All_India_Index_Upto_April23[[#This Row],[Year]],MONTH(1&amp;TRIM(All_India_Index_Upto_April23[[#This Row],[Month]])),1)</f>
        <v>44713</v>
      </c>
    </row>
    <row r="334" spans="1:34" x14ac:dyDescent="0.3">
      <c r="A334">
        <v>333</v>
      </c>
      <c r="B334" s="1" t="s">
        <v>34</v>
      </c>
      <c r="C334">
        <v>2022</v>
      </c>
      <c r="D334" s="1" t="s">
        <v>39</v>
      </c>
      <c r="E334" s="2">
        <v>2456.2000000000003</v>
      </c>
      <c r="F334">
        <v>155</v>
      </c>
      <c r="G334">
        <v>219.4</v>
      </c>
      <c r="H334">
        <v>170.8</v>
      </c>
      <c r="I334">
        <v>165.8</v>
      </c>
      <c r="J334">
        <v>200.9</v>
      </c>
      <c r="K334">
        <v>169.7</v>
      </c>
      <c r="L334">
        <v>182.3</v>
      </c>
      <c r="M334">
        <v>164.3</v>
      </c>
      <c r="N334">
        <v>119.9</v>
      </c>
      <c r="O334">
        <v>187.1</v>
      </c>
      <c r="P334">
        <v>167.9</v>
      </c>
      <c r="Q334">
        <v>183.9</v>
      </c>
      <c r="R334">
        <v>174.9</v>
      </c>
      <c r="S334">
        <v>194.3</v>
      </c>
      <c r="T334">
        <v>177.1</v>
      </c>
      <c r="U334">
        <v>169.9</v>
      </c>
      <c r="V334">
        <v>176</v>
      </c>
      <c r="W334" s="1">
        <v>166.8</v>
      </c>
      <c r="X334">
        <v>176</v>
      </c>
      <c r="Y334">
        <v>166.4</v>
      </c>
      <c r="Z334">
        <v>175.4</v>
      </c>
      <c r="AA334">
        <v>161.1</v>
      </c>
      <c r="AB334">
        <v>165.8</v>
      </c>
      <c r="AC334">
        <v>169</v>
      </c>
      <c r="AD334">
        <v>169.4</v>
      </c>
      <c r="AE334">
        <v>167.5</v>
      </c>
      <c r="AF334">
        <v>172.6</v>
      </c>
      <c r="AG334" s="2">
        <f>AVERAGE(All_India_Index_Upto_April23[[#This Row],[Food]:[General index]])</f>
        <v>254.47857142857146</v>
      </c>
      <c r="AH334" s="7">
        <f>DATE(All_India_Index_Upto_April23[[#This Row],[Year]],MONTH(1&amp;TRIM(All_India_Index_Upto_April23[[#This Row],[Month]])),1)</f>
        <v>44713</v>
      </c>
    </row>
    <row r="335" spans="1:34" x14ac:dyDescent="0.3">
      <c r="A335">
        <v>334</v>
      </c>
      <c r="B335" s="1" t="s">
        <v>18</v>
      </c>
      <c r="C335">
        <v>2022</v>
      </c>
      <c r="D335" s="1" t="s">
        <v>40</v>
      </c>
      <c r="E335" s="2">
        <v>2445.6999999999998</v>
      </c>
      <c r="F335">
        <v>155.19999999999999</v>
      </c>
      <c r="G335">
        <v>210.8</v>
      </c>
      <c r="H335">
        <v>174.3</v>
      </c>
      <c r="I335">
        <v>166.3</v>
      </c>
      <c r="J335">
        <v>202.2</v>
      </c>
      <c r="K335">
        <v>169.6</v>
      </c>
      <c r="L335">
        <v>168.6</v>
      </c>
      <c r="M335">
        <v>164.4</v>
      </c>
      <c r="N335">
        <v>119.2</v>
      </c>
      <c r="O335">
        <v>191.8</v>
      </c>
      <c r="P335">
        <v>174.5</v>
      </c>
      <c r="Q335">
        <v>183.1</v>
      </c>
      <c r="R335">
        <v>172.5</v>
      </c>
      <c r="S335">
        <v>193.2</v>
      </c>
      <c r="T335">
        <v>182</v>
      </c>
      <c r="U335">
        <v>180.3</v>
      </c>
      <c r="V335">
        <v>181.7</v>
      </c>
      <c r="W335" s="1">
        <v>139.12</v>
      </c>
      <c r="X335">
        <v>179.6</v>
      </c>
      <c r="Y335">
        <v>171.3</v>
      </c>
      <c r="Z335">
        <v>178.8</v>
      </c>
      <c r="AA335">
        <v>166.3</v>
      </c>
      <c r="AB335">
        <v>168.6</v>
      </c>
      <c r="AC335">
        <v>174.7</v>
      </c>
      <c r="AD335">
        <v>169.7</v>
      </c>
      <c r="AE335">
        <v>171.8</v>
      </c>
      <c r="AF335">
        <v>174.3</v>
      </c>
      <c r="AG335" s="2">
        <f>AVERAGE(All_India_Index_Upto_April23[[#This Row],[Food]:[General index]])</f>
        <v>254.62928571428574</v>
      </c>
      <c r="AH335" s="7">
        <f>DATE(All_India_Index_Upto_April23[[#This Row],[Year]],MONTH(1&amp;TRIM(All_India_Index_Upto_April23[[#This Row],[Month]])),1)</f>
        <v>44743</v>
      </c>
    </row>
    <row r="336" spans="1:34" x14ac:dyDescent="0.3">
      <c r="A336">
        <v>335</v>
      </c>
      <c r="B336" s="1" t="s">
        <v>33</v>
      </c>
      <c r="C336">
        <v>2022</v>
      </c>
      <c r="D336" s="1" t="s">
        <v>40</v>
      </c>
      <c r="E336" s="2">
        <v>2490.1999999999998</v>
      </c>
      <c r="F336">
        <v>159.30000000000001</v>
      </c>
      <c r="G336">
        <v>217.1</v>
      </c>
      <c r="H336">
        <v>176.6</v>
      </c>
      <c r="I336">
        <v>167.1</v>
      </c>
      <c r="J336">
        <v>184.8</v>
      </c>
      <c r="K336">
        <v>179.5</v>
      </c>
      <c r="L336">
        <v>208.5</v>
      </c>
      <c r="M336">
        <v>164</v>
      </c>
      <c r="N336">
        <v>121.5</v>
      </c>
      <c r="O336">
        <v>186.3</v>
      </c>
      <c r="P336">
        <v>159.80000000000001</v>
      </c>
      <c r="Q336">
        <v>187.7</v>
      </c>
      <c r="R336">
        <v>179.4</v>
      </c>
      <c r="S336">
        <v>198.6</v>
      </c>
      <c r="T336">
        <v>172.7</v>
      </c>
      <c r="U336">
        <v>158.69999999999999</v>
      </c>
      <c r="V336">
        <v>170.6</v>
      </c>
      <c r="W336" s="1">
        <v>167.8</v>
      </c>
      <c r="X336">
        <v>179.5</v>
      </c>
      <c r="Y336">
        <v>163.1</v>
      </c>
      <c r="Z336">
        <v>171.7</v>
      </c>
      <c r="AA336">
        <v>157.4</v>
      </c>
      <c r="AB336">
        <v>164.6</v>
      </c>
      <c r="AC336">
        <v>169.1</v>
      </c>
      <c r="AD336">
        <v>169.8</v>
      </c>
      <c r="AE336">
        <v>164.7</v>
      </c>
      <c r="AF336">
        <v>172.3</v>
      </c>
      <c r="AG336" s="2">
        <f>AVERAGE(All_India_Index_Upto_April23[[#This Row],[Food]:[General index]])</f>
        <v>255.8</v>
      </c>
      <c r="AH336" s="7">
        <f>DATE(All_India_Index_Upto_April23[[#This Row],[Year]],MONTH(1&amp;TRIM(All_India_Index_Upto_April23[[#This Row],[Month]])),1)</f>
        <v>44743</v>
      </c>
    </row>
    <row r="337" spans="1:34" x14ac:dyDescent="0.3">
      <c r="A337">
        <v>336</v>
      </c>
      <c r="B337" s="1" t="s">
        <v>34</v>
      </c>
      <c r="C337">
        <v>2022</v>
      </c>
      <c r="D337" s="1" t="s">
        <v>40</v>
      </c>
      <c r="E337" s="2">
        <v>2460.9</v>
      </c>
      <c r="F337">
        <v>156.5</v>
      </c>
      <c r="G337">
        <v>213</v>
      </c>
      <c r="H337">
        <v>175.2</v>
      </c>
      <c r="I337">
        <v>166.6</v>
      </c>
      <c r="J337">
        <v>195.8</v>
      </c>
      <c r="K337">
        <v>174.2</v>
      </c>
      <c r="L337">
        <v>182.1</v>
      </c>
      <c r="M337">
        <v>164.3</v>
      </c>
      <c r="N337">
        <v>120</v>
      </c>
      <c r="O337">
        <v>190</v>
      </c>
      <c r="P337">
        <v>168.4</v>
      </c>
      <c r="Q337">
        <v>185.2</v>
      </c>
      <c r="R337">
        <v>175</v>
      </c>
      <c r="S337">
        <v>194.6</v>
      </c>
      <c r="T337">
        <v>178.3</v>
      </c>
      <c r="U337">
        <v>171.3</v>
      </c>
      <c r="V337">
        <v>177.3</v>
      </c>
      <c r="W337" s="1">
        <v>167.8</v>
      </c>
      <c r="X337">
        <v>179.6</v>
      </c>
      <c r="Y337">
        <v>167.4</v>
      </c>
      <c r="Z337">
        <v>176.1</v>
      </c>
      <c r="AA337">
        <v>161.6</v>
      </c>
      <c r="AB337">
        <v>166.3</v>
      </c>
      <c r="AC337">
        <v>171.4</v>
      </c>
      <c r="AD337">
        <v>169.7</v>
      </c>
      <c r="AE337">
        <v>168.4</v>
      </c>
      <c r="AF337">
        <v>173.4</v>
      </c>
      <c r="AG337" s="2">
        <f>AVERAGE(All_India_Index_Upto_April23[[#This Row],[Food]:[General index]])</f>
        <v>255.37142857142859</v>
      </c>
      <c r="AH337" s="7">
        <f>DATE(All_India_Index_Upto_April23[[#This Row],[Year]],MONTH(1&amp;TRIM(All_India_Index_Upto_April23[[#This Row],[Month]])),1)</f>
        <v>44743</v>
      </c>
    </row>
    <row r="338" spans="1:34" x14ac:dyDescent="0.3">
      <c r="A338">
        <v>337</v>
      </c>
      <c r="B338" s="1" t="s">
        <v>18</v>
      </c>
      <c r="C338">
        <v>2022</v>
      </c>
      <c r="D338" s="1" t="s">
        <v>41</v>
      </c>
      <c r="E338" s="2">
        <v>2449.4999999999995</v>
      </c>
      <c r="F338">
        <v>159.5</v>
      </c>
      <c r="G338">
        <v>204.1</v>
      </c>
      <c r="H338">
        <v>168.3</v>
      </c>
      <c r="I338">
        <v>167.9</v>
      </c>
      <c r="J338">
        <v>198.1</v>
      </c>
      <c r="K338">
        <v>169.2</v>
      </c>
      <c r="L338">
        <v>173.1</v>
      </c>
      <c r="M338">
        <v>167.1</v>
      </c>
      <c r="N338">
        <v>120.2</v>
      </c>
      <c r="O338">
        <v>195.6</v>
      </c>
      <c r="P338">
        <v>174.8</v>
      </c>
      <c r="Q338">
        <v>184</v>
      </c>
      <c r="R338">
        <v>173.9</v>
      </c>
      <c r="S338">
        <v>193.7</v>
      </c>
      <c r="T338">
        <v>183.2</v>
      </c>
      <c r="U338">
        <v>181.7</v>
      </c>
      <c r="V338">
        <v>183</v>
      </c>
      <c r="W338" s="1">
        <v>139.12</v>
      </c>
      <c r="X338">
        <v>179.1</v>
      </c>
      <c r="Y338">
        <v>172.3</v>
      </c>
      <c r="Z338">
        <v>179.4</v>
      </c>
      <c r="AA338">
        <v>166.6</v>
      </c>
      <c r="AB338">
        <v>169.3</v>
      </c>
      <c r="AC338">
        <v>175.7</v>
      </c>
      <c r="AD338">
        <v>171.1</v>
      </c>
      <c r="AE338">
        <v>172.6</v>
      </c>
      <c r="AF338">
        <v>175.3</v>
      </c>
      <c r="AG338" s="2">
        <f>AVERAGE(All_India_Index_Upto_April23[[#This Row],[Food]:[General index]])</f>
        <v>255.26500000000001</v>
      </c>
      <c r="AH338" s="7">
        <f>DATE(All_India_Index_Upto_April23[[#This Row],[Year]],MONTH(1&amp;TRIM(All_India_Index_Upto_April23[[#This Row],[Month]])),1)</f>
        <v>44774</v>
      </c>
    </row>
    <row r="339" spans="1:34" x14ac:dyDescent="0.3">
      <c r="A339">
        <v>338</v>
      </c>
      <c r="B339" s="1" t="s">
        <v>33</v>
      </c>
      <c r="C339">
        <v>2022</v>
      </c>
      <c r="D339" s="1" t="s">
        <v>41</v>
      </c>
      <c r="E339" s="2">
        <v>2492.3999999999996</v>
      </c>
      <c r="F339">
        <v>162.1</v>
      </c>
      <c r="G339">
        <v>210.9</v>
      </c>
      <c r="H339">
        <v>170.6</v>
      </c>
      <c r="I339">
        <v>168.4</v>
      </c>
      <c r="J339">
        <v>182.5</v>
      </c>
      <c r="K339">
        <v>177.1</v>
      </c>
      <c r="L339">
        <v>213.1</v>
      </c>
      <c r="M339">
        <v>167.3</v>
      </c>
      <c r="N339">
        <v>122.2</v>
      </c>
      <c r="O339">
        <v>189.7</v>
      </c>
      <c r="P339">
        <v>160.5</v>
      </c>
      <c r="Q339">
        <v>188.9</v>
      </c>
      <c r="R339">
        <v>180.4</v>
      </c>
      <c r="S339">
        <v>198.7</v>
      </c>
      <c r="T339">
        <v>173.7</v>
      </c>
      <c r="U339">
        <v>160</v>
      </c>
      <c r="V339">
        <v>171.6</v>
      </c>
      <c r="W339" s="1">
        <v>169</v>
      </c>
      <c r="X339">
        <v>178.4</v>
      </c>
      <c r="Y339">
        <v>164.2</v>
      </c>
      <c r="Z339">
        <v>172.6</v>
      </c>
      <c r="AA339">
        <v>157.69999999999999</v>
      </c>
      <c r="AB339">
        <v>165.1</v>
      </c>
      <c r="AC339">
        <v>169.9</v>
      </c>
      <c r="AD339">
        <v>171.4</v>
      </c>
      <c r="AE339">
        <v>165.4</v>
      </c>
      <c r="AF339">
        <v>173.1</v>
      </c>
      <c r="AG339" s="2">
        <f>AVERAGE(All_India_Index_Upto_April23[[#This Row],[Food]:[General index]])</f>
        <v>256.31785714285706</v>
      </c>
      <c r="AH339" s="7">
        <f>DATE(All_India_Index_Upto_April23[[#This Row],[Year]],MONTH(1&amp;TRIM(All_India_Index_Upto_April23[[#This Row],[Month]])),1)</f>
        <v>44774</v>
      </c>
    </row>
    <row r="340" spans="1:34" x14ac:dyDescent="0.3">
      <c r="A340">
        <v>339</v>
      </c>
      <c r="B340" s="1" t="s">
        <v>34</v>
      </c>
      <c r="C340">
        <v>2022</v>
      </c>
      <c r="D340" s="1" t="s">
        <v>41</v>
      </c>
      <c r="E340" s="2">
        <v>2464.2000000000003</v>
      </c>
      <c r="F340">
        <v>160.30000000000001</v>
      </c>
      <c r="G340">
        <v>206.5</v>
      </c>
      <c r="H340">
        <v>169.2</v>
      </c>
      <c r="I340">
        <v>168.1</v>
      </c>
      <c r="J340">
        <v>192.4</v>
      </c>
      <c r="K340">
        <v>172.9</v>
      </c>
      <c r="L340">
        <v>186.7</v>
      </c>
      <c r="M340">
        <v>167.2</v>
      </c>
      <c r="N340">
        <v>120.9</v>
      </c>
      <c r="O340">
        <v>193.6</v>
      </c>
      <c r="P340">
        <v>168.8</v>
      </c>
      <c r="Q340">
        <v>186.3</v>
      </c>
      <c r="R340">
        <v>176.3</v>
      </c>
      <c r="S340">
        <v>195</v>
      </c>
      <c r="T340">
        <v>179.5</v>
      </c>
      <c r="U340">
        <v>172.7</v>
      </c>
      <c r="V340">
        <v>178.5</v>
      </c>
      <c r="W340" s="1">
        <v>169</v>
      </c>
      <c r="X340">
        <v>178.8</v>
      </c>
      <c r="Y340">
        <v>168.5</v>
      </c>
      <c r="Z340">
        <v>176.8</v>
      </c>
      <c r="AA340">
        <v>161.9</v>
      </c>
      <c r="AB340">
        <v>166.9</v>
      </c>
      <c r="AC340">
        <v>172.3</v>
      </c>
      <c r="AD340">
        <v>171.2</v>
      </c>
      <c r="AE340">
        <v>169.1</v>
      </c>
      <c r="AF340">
        <v>174.3</v>
      </c>
      <c r="AG340" s="2">
        <f>AVERAGE(All_India_Index_Upto_April23[[#This Row],[Food]:[General index]])</f>
        <v>255.99642857142859</v>
      </c>
      <c r="AH340" s="7">
        <f>DATE(All_India_Index_Upto_April23[[#This Row],[Year]],MONTH(1&amp;TRIM(All_India_Index_Upto_April23[[#This Row],[Month]])),1)</f>
        <v>44774</v>
      </c>
    </row>
    <row r="341" spans="1:34" x14ac:dyDescent="0.3">
      <c r="A341">
        <v>340</v>
      </c>
      <c r="B341" s="1" t="s">
        <v>18</v>
      </c>
      <c r="C341">
        <v>2022</v>
      </c>
      <c r="D341" s="1" t="s">
        <v>42</v>
      </c>
      <c r="E341" s="2">
        <v>2462.3000000000002</v>
      </c>
      <c r="F341">
        <v>162.9</v>
      </c>
      <c r="G341">
        <v>206.7</v>
      </c>
      <c r="H341">
        <v>169</v>
      </c>
      <c r="I341">
        <v>169.5</v>
      </c>
      <c r="J341">
        <v>194.1</v>
      </c>
      <c r="K341">
        <v>164.1</v>
      </c>
      <c r="L341">
        <v>176.9</v>
      </c>
      <c r="M341">
        <v>169</v>
      </c>
      <c r="N341">
        <v>120.8</v>
      </c>
      <c r="O341">
        <v>199.1</v>
      </c>
      <c r="P341">
        <v>175.4</v>
      </c>
      <c r="Q341">
        <v>184.8</v>
      </c>
      <c r="R341">
        <v>175.5</v>
      </c>
      <c r="S341">
        <v>194.5</v>
      </c>
      <c r="T341">
        <v>184.7</v>
      </c>
      <c r="U341">
        <v>183.3</v>
      </c>
      <c r="V341">
        <v>184.5</v>
      </c>
      <c r="W341" s="1">
        <v>139.12</v>
      </c>
      <c r="X341">
        <v>179.7</v>
      </c>
      <c r="Y341">
        <v>173.6</v>
      </c>
      <c r="Z341">
        <v>180.2</v>
      </c>
      <c r="AA341">
        <v>166.9</v>
      </c>
      <c r="AB341">
        <v>170</v>
      </c>
      <c r="AC341">
        <v>176.2</v>
      </c>
      <c r="AD341">
        <v>170.8</v>
      </c>
      <c r="AE341">
        <v>173.1</v>
      </c>
      <c r="AF341">
        <v>176.4</v>
      </c>
      <c r="AG341" s="2">
        <f>AVERAGE(All_India_Index_Upto_April23[[#This Row],[Food]:[General index]])</f>
        <v>256.54000000000002</v>
      </c>
      <c r="AH341" s="7">
        <f>DATE(All_India_Index_Upto_April23[[#This Row],[Year]],MONTH(1&amp;TRIM(All_India_Index_Upto_April23[[#This Row],[Month]])),1)</f>
        <v>44805</v>
      </c>
    </row>
    <row r="342" spans="1:34" x14ac:dyDescent="0.3">
      <c r="A342">
        <v>341</v>
      </c>
      <c r="B342" s="1" t="s">
        <v>33</v>
      </c>
      <c r="C342">
        <v>2022</v>
      </c>
      <c r="D342" s="1" t="s">
        <v>42</v>
      </c>
      <c r="E342" s="2">
        <v>2506.1</v>
      </c>
      <c r="F342">
        <v>164.9</v>
      </c>
      <c r="G342">
        <v>213.7</v>
      </c>
      <c r="H342">
        <v>170.9</v>
      </c>
      <c r="I342">
        <v>170.1</v>
      </c>
      <c r="J342">
        <v>179.3</v>
      </c>
      <c r="K342">
        <v>167.5</v>
      </c>
      <c r="L342">
        <v>220.8</v>
      </c>
      <c r="M342">
        <v>169.2</v>
      </c>
      <c r="N342">
        <v>123.1</v>
      </c>
      <c r="O342">
        <v>193.6</v>
      </c>
      <c r="P342">
        <v>161.1</v>
      </c>
      <c r="Q342">
        <v>190.4</v>
      </c>
      <c r="R342">
        <v>181.8</v>
      </c>
      <c r="S342">
        <v>199.7</v>
      </c>
      <c r="T342">
        <v>175</v>
      </c>
      <c r="U342">
        <v>161.69999999999999</v>
      </c>
      <c r="V342">
        <v>173</v>
      </c>
      <c r="W342" s="1">
        <v>169.5</v>
      </c>
      <c r="X342">
        <v>179.2</v>
      </c>
      <c r="Y342">
        <v>165</v>
      </c>
      <c r="Z342">
        <v>173.8</v>
      </c>
      <c r="AA342">
        <v>158.19999999999999</v>
      </c>
      <c r="AB342">
        <v>165.8</v>
      </c>
      <c r="AC342">
        <v>170.9</v>
      </c>
      <c r="AD342">
        <v>171.1</v>
      </c>
      <c r="AE342">
        <v>166.1</v>
      </c>
      <c r="AF342">
        <v>174.1</v>
      </c>
      <c r="AG342" s="2">
        <f>AVERAGE(All_India_Index_Upto_April23[[#This Row],[Food]:[General index]])</f>
        <v>257.7</v>
      </c>
      <c r="AH342" s="7">
        <f>DATE(All_India_Index_Upto_April23[[#This Row],[Year]],MONTH(1&amp;TRIM(All_India_Index_Upto_April23[[#This Row],[Month]])),1)</f>
        <v>44805</v>
      </c>
    </row>
    <row r="343" spans="1:34" x14ac:dyDescent="0.3">
      <c r="A343">
        <v>342</v>
      </c>
      <c r="B343" s="1" t="s">
        <v>34</v>
      </c>
      <c r="C343">
        <v>2022</v>
      </c>
      <c r="D343" s="1" t="s">
        <v>42</v>
      </c>
      <c r="E343" s="2">
        <v>2476.8000000000002</v>
      </c>
      <c r="F343">
        <v>163.5</v>
      </c>
      <c r="G343">
        <v>209.2</v>
      </c>
      <c r="H343">
        <v>169.7</v>
      </c>
      <c r="I343">
        <v>169.7</v>
      </c>
      <c r="J343">
        <v>188.7</v>
      </c>
      <c r="K343">
        <v>165.7</v>
      </c>
      <c r="L343">
        <v>191.8</v>
      </c>
      <c r="M343">
        <v>169.1</v>
      </c>
      <c r="N343">
        <v>121.6</v>
      </c>
      <c r="O343">
        <v>197.3</v>
      </c>
      <c r="P343">
        <v>169.4</v>
      </c>
      <c r="Q343">
        <v>187.4</v>
      </c>
      <c r="R343">
        <v>177.8</v>
      </c>
      <c r="S343">
        <v>195.9</v>
      </c>
      <c r="T343">
        <v>180.9</v>
      </c>
      <c r="U343">
        <v>174.3</v>
      </c>
      <c r="V343">
        <v>179.9</v>
      </c>
      <c r="W343" s="1">
        <v>169.5</v>
      </c>
      <c r="X343">
        <v>179.5</v>
      </c>
      <c r="Y343">
        <v>169.5</v>
      </c>
      <c r="Z343">
        <v>177.8</v>
      </c>
      <c r="AA343">
        <v>162.30000000000001</v>
      </c>
      <c r="AB343">
        <v>167.6</v>
      </c>
      <c r="AC343">
        <v>173.1</v>
      </c>
      <c r="AD343">
        <v>170.9</v>
      </c>
      <c r="AE343">
        <v>169.7</v>
      </c>
      <c r="AF343">
        <v>175.3</v>
      </c>
      <c r="AG343" s="2">
        <f>AVERAGE(All_India_Index_Upto_April23[[#This Row],[Food]:[General index]])</f>
        <v>257.28214285714279</v>
      </c>
      <c r="AH343" s="7">
        <f>DATE(All_India_Index_Upto_April23[[#This Row],[Year]],MONTH(1&amp;TRIM(All_India_Index_Upto_April23[[#This Row],[Month]])),1)</f>
        <v>44805</v>
      </c>
    </row>
    <row r="344" spans="1:34" x14ac:dyDescent="0.3">
      <c r="A344">
        <v>343</v>
      </c>
      <c r="B344" s="1" t="s">
        <v>18</v>
      </c>
      <c r="C344">
        <v>2022</v>
      </c>
      <c r="D344" s="1" t="s">
        <v>43</v>
      </c>
      <c r="E344" s="2">
        <v>2479.4</v>
      </c>
      <c r="F344">
        <v>164.7</v>
      </c>
      <c r="G344">
        <v>208.8</v>
      </c>
      <c r="H344">
        <v>170.3</v>
      </c>
      <c r="I344">
        <v>170.9</v>
      </c>
      <c r="J344">
        <v>191.6</v>
      </c>
      <c r="K344">
        <v>162.19999999999999</v>
      </c>
      <c r="L344">
        <v>184.8</v>
      </c>
      <c r="M344">
        <v>169.7</v>
      </c>
      <c r="N344">
        <v>121.1</v>
      </c>
      <c r="O344">
        <v>201.6</v>
      </c>
      <c r="P344">
        <v>175.8</v>
      </c>
      <c r="Q344">
        <v>185.6</v>
      </c>
      <c r="R344">
        <v>177.4</v>
      </c>
      <c r="S344">
        <v>194.9</v>
      </c>
      <c r="T344">
        <v>186.1</v>
      </c>
      <c r="U344">
        <v>184.4</v>
      </c>
      <c r="V344">
        <v>185.9</v>
      </c>
      <c r="W344" s="1">
        <v>139.12</v>
      </c>
      <c r="X344">
        <v>180.8</v>
      </c>
      <c r="Y344">
        <v>174.4</v>
      </c>
      <c r="Z344">
        <v>181.2</v>
      </c>
      <c r="AA344">
        <v>167.4</v>
      </c>
      <c r="AB344">
        <v>170.6</v>
      </c>
      <c r="AC344">
        <v>176.5</v>
      </c>
      <c r="AD344">
        <v>172</v>
      </c>
      <c r="AE344">
        <v>173.9</v>
      </c>
      <c r="AF344">
        <v>177.9</v>
      </c>
      <c r="AG344" s="2">
        <f>AVERAGE(All_India_Index_Upto_April23[[#This Row],[Food]:[General index]])</f>
        <v>258.17928571428564</v>
      </c>
      <c r="AH344" s="7">
        <f>DATE(All_India_Index_Upto_April23[[#This Row],[Year]],MONTH(1&amp;TRIM(All_India_Index_Upto_April23[[#This Row],[Month]])),1)</f>
        <v>44835</v>
      </c>
    </row>
    <row r="345" spans="1:34" x14ac:dyDescent="0.3">
      <c r="A345">
        <v>344</v>
      </c>
      <c r="B345" s="1" t="s">
        <v>33</v>
      </c>
      <c r="C345">
        <v>2022</v>
      </c>
      <c r="D345" s="1" t="s">
        <v>43</v>
      </c>
      <c r="E345" s="2">
        <v>2522.4</v>
      </c>
      <c r="F345">
        <v>166.4</v>
      </c>
      <c r="G345">
        <v>214.9</v>
      </c>
      <c r="H345">
        <v>171.9</v>
      </c>
      <c r="I345">
        <v>171</v>
      </c>
      <c r="J345">
        <v>177.7</v>
      </c>
      <c r="K345">
        <v>165.7</v>
      </c>
      <c r="L345">
        <v>228.6</v>
      </c>
      <c r="M345">
        <v>169.9</v>
      </c>
      <c r="N345">
        <v>123.4</v>
      </c>
      <c r="O345">
        <v>196.4</v>
      </c>
      <c r="P345">
        <v>161.6</v>
      </c>
      <c r="Q345">
        <v>191.5</v>
      </c>
      <c r="R345">
        <v>183.3</v>
      </c>
      <c r="S345">
        <v>200.1</v>
      </c>
      <c r="T345">
        <v>175.5</v>
      </c>
      <c r="U345">
        <v>162.6</v>
      </c>
      <c r="V345">
        <v>173.6</v>
      </c>
      <c r="W345" s="1">
        <v>171.2</v>
      </c>
      <c r="X345">
        <v>180</v>
      </c>
      <c r="Y345">
        <v>166</v>
      </c>
      <c r="Z345">
        <v>174.7</v>
      </c>
      <c r="AA345">
        <v>158.80000000000001</v>
      </c>
      <c r="AB345">
        <v>166.3</v>
      </c>
      <c r="AC345">
        <v>171.2</v>
      </c>
      <c r="AD345">
        <v>172.3</v>
      </c>
      <c r="AE345">
        <v>166.8</v>
      </c>
      <c r="AF345">
        <v>175.3</v>
      </c>
      <c r="AG345" s="2">
        <f>AVERAGE(All_India_Index_Upto_April23[[#This Row],[Food]:[General index]])</f>
        <v>259.25357142857149</v>
      </c>
      <c r="AH345" s="7">
        <f>DATE(All_India_Index_Upto_April23[[#This Row],[Year]],MONTH(1&amp;TRIM(All_India_Index_Upto_April23[[#This Row],[Month]])),1)</f>
        <v>44835</v>
      </c>
    </row>
    <row r="346" spans="1:34" x14ac:dyDescent="0.3">
      <c r="A346">
        <v>345</v>
      </c>
      <c r="B346" s="1" t="s">
        <v>34</v>
      </c>
      <c r="C346">
        <v>2022</v>
      </c>
      <c r="D346" s="1" t="s">
        <v>43</v>
      </c>
      <c r="E346" s="2">
        <v>2493.6000000000004</v>
      </c>
      <c r="F346">
        <v>165.2</v>
      </c>
      <c r="G346">
        <v>210.9</v>
      </c>
      <c r="H346">
        <v>170.9</v>
      </c>
      <c r="I346">
        <v>170.9</v>
      </c>
      <c r="J346">
        <v>186.5</v>
      </c>
      <c r="K346">
        <v>163.80000000000001</v>
      </c>
      <c r="L346">
        <v>199.7</v>
      </c>
      <c r="M346">
        <v>169.8</v>
      </c>
      <c r="N346">
        <v>121.9</v>
      </c>
      <c r="O346">
        <v>199.9</v>
      </c>
      <c r="P346">
        <v>169.9</v>
      </c>
      <c r="Q346">
        <v>188.3</v>
      </c>
      <c r="R346">
        <v>179.6</v>
      </c>
      <c r="S346">
        <v>196.3</v>
      </c>
      <c r="T346">
        <v>181.9</v>
      </c>
      <c r="U346">
        <v>175.3</v>
      </c>
      <c r="V346">
        <v>181</v>
      </c>
      <c r="W346" s="1">
        <v>171.2</v>
      </c>
      <c r="X346">
        <v>180.5</v>
      </c>
      <c r="Y346">
        <v>170.4</v>
      </c>
      <c r="Z346">
        <v>178.7</v>
      </c>
      <c r="AA346">
        <v>162.9</v>
      </c>
      <c r="AB346">
        <v>168.2</v>
      </c>
      <c r="AC346">
        <v>173.4</v>
      </c>
      <c r="AD346">
        <v>172.1</v>
      </c>
      <c r="AE346">
        <v>170.5</v>
      </c>
      <c r="AF346">
        <v>176.7</v>
      </c>
      <c r="AG346" s="2">
        <f>AVERAGE(All_India_Index_Upto_April23[[#This Row],[Food]:[General index]])</f>
        <v>258.92857142857139</v>
      </c>
      <c r="AH346" s="7">
        <f>DATE(All_India_Index_Upto_April23[[#This Row],[Year]],MONTH(1&amp;TRIM(All_India_Index_Upto_April23[[#This Row],[Month]])),1)</f>
        <v>44835</v>
      </c>
    </row>
    <row r="347" spans="1:34" x14ac:dyDescent="0.3">
      <c r="A347">
        <v>346</v>
      </c>
      <c r="B347" s="1" t="s">
        <v>18</v>
      </c>
      <c r="C347">
        <v>2022</v>
      </c>
      <c r="D347" s="1" t="s">
        <v>45</v>
      </c>
      <c r="E347" s="2">
        <v>2483.1999999999998</v>
      </c>
      <c r="F347">
        <v>166.9</v>
      </c>
      <c r="G347">
        <v>207.2</v>
      </c>
      <c r="H347">
        <v>180.2</v>
      </c>
      <c r="I347">
        <v>172.3</v>
      </c>
      <c r="J347">
        <v>194</v>
      </c>
      <c r="K347">
        <v>159.1</v>
      </c>
      <c r="L347">
        <v>171.6</v>
      </c>
      <c r="M347">
        <v>170.2</v>
      </c>
      <c r="N347">
        <v>121.5</v>
      </c>
      <c r="O347">
        <v>204.8</v>
      </c>
      <c r="P347">
        <v>176.4</v>
      </c>
      <c r="Q347">
        <v>186.9</v>
      </c>
      <c r="R347">
        <v>176.6</v>
      </c>
      <c r="S347">
        <v>195.5</v>
      </c>
      <c r="T347">
        <v>187.2</v>
      </c>
      <c r="U347">
        <v>185.2</v>
      </c>
      <c r="V347">
        <v>186.9</v>
      </c>
      <c r="W347" s="1">
        <v>139.12</v>
      </c>
      <c r="X347">
        <v>181.9</v>
      </c>
      <c r="Y347">
        <v>175.5</v>
      </c>
      <c r="Z347">
        <v>182.3</v>
      </c>
      <c r="AA347">
        <v>167.5</v>
      </c>
      <c r="AB347">
        <v>170.8</v>
      </c>
      <c r="AC347">
        <v>176.9</v>
      </c>
      <c r="AD347">
        <v>173.4</v>
      </c>
      <c r="AE347">
        <v>174.6</v>
      </c>
      <c r="AF347">
        <v>177.8</v>
      </c>
      <c r="AG347" s="2">
        <f>AVERAGE(All_India_Index_Upto_April23[[#This Row],[Food]:[General index]])</f>
        <v>258.76857142857136</v>
      </c>
      <c r="AH347" s="7">
        <f>DATE(All_India_Index_Upto_April23[[#This Row],[Year]],MONTH(1&amp;TRIM(All_India_Index_Upto_April23[[#This Row],[Month]])),1)</f>
        <v>44866</v>
      </c>
    </row>
    <row r="348" spans="1:34" x14ac:dyDescent="0.3">
      <c r="A348">
        <v>347</v>
      </c>
      <c r="B348" s="1" t="s">
        <v>33</v>
      </c>
      <c r="C348">
        <v>2022</v>
      </c>
      <c r="D348" s="1" t="s">
        <v>45</v>
      </c>
      <c r="E348" s="2">
        <v>2515</v>
      </c>
      <c r="F348">
        <v>168.4</v>
      </c>
      <c r="G348">
        <v>213.4</v>
      </c>
      <c r="H348">
        <v>183.2</v>
      </c>
      <c r="I348">
        <v>172.3</v>
      </c>
      <c r="J348">
        <v>180</v>
      </c>
      <c r="K348">
        <v>162.6</v>
      </c>
      <c r="L348">
        <v>205.5</v>
      </c>
      <c r="M348">
        <v>171</v>
      </c>
      <c r="N348">
        <v>123.4</v>
      </c>
      <c r="O348">
        <v>198.8</v>
      </c>
      <c r="P348">
        <v>162.1</v>
      </c>
      <c r="Q348">
        <v>192.4</v>
      </c>
      <c r="R348">
        <v>181.3</v>
      </c>
      <c r="S348">
        <v>200.6</v>
      </c>
      <c r="T348">
        <v>176.7</v>
      </c>
      <c r="U348">
        <v>163.5</v>
      </c>
      <c r="V348">
        <v>174.7</v>
      </c>
      <c r="W348" s="1">
        <v>171.8</v>
      </c>
      <c r="X348">
        <v>180.3</v>
      </c>
      <c r="Y348">
        <v>166.9</v>
      </c>
      <c r="Z348">
        <v>175.8</v>
      </c>
      <c r="AA348">
        <v>158.9</v>
      </c>
      <c r="AB348">
        <v>166.7</v>
      </c>
      <c r="AC348">
        <v>171.5</v>
      </c>
      <c r="AD348">
        <v>173.8</v>
      </c>
      <c r="AE348">
        <v>167.4</v>
      </c>
      <c r="AF348">
        <v>174.1</v>
      </c>
      <c r="AG348" s="2">
        <f>AVERAGE(All_India_Index_Upto_April23[[#This Row],[Food]:[General index]])</f>
        <v>259.00357142857143</v>
      </c>
      <c r="AH348" s="7">
        <f>DATE(All_India_Index_Upto_April23[[#This Row],[Year]],MONTH(1&amp;TRIM(All_India_Index_Upto_April23[[#This Row],[Month]])),1)</f>
        <v>44866</v>
      </c>
    </row>
    <row r="349" spans="1:34" x14ac:dyDescent="0.3">
      <c r="A349">
        <v>348</v>
      </c>
      <c r="B349" s="1" t="s">
        <v>34</v>
      </c>
      <c r="C349">
        <v>2022</v>
      </c>
      <c r="D349" s="1" t="s">
        <v>45</v>
      </c>
      <c r="E349" s="2">
        <v>2493.7000000000003</v>
      </c>
      <c r="F349">
        <v>167.4</v>
      </c>
      <c r="G349">
        <v>209.4</v>
      </c>
      <c r="H349">
        <v>181.4</v>
      </c>
      <c r="I349">
        <v>172.3</v>
      </c>
      <c r="J349">
        <v>188.9</v>
      </c>
      <c r="K349">
        <v>160.69999999999999</v>
      </c>
      <c r="L349">
        <v>183.1</v>
      </c>
      <c r="M349">
        <v>170.5</v>
      </c>
      <c r="N349">
        <v>122.1</v>
      </c>
      <c r="O349">
        <v>202.8</v>
      </c>
      <c r="P349">
        <v>170.4</v>
      </c>
      <c r="Q349">
        <v>189.5</v>
      </c>
      <c r="R349">
        <v>178.3</v>
      </c>
      <c r="S349">
        <v>196.9</v>
      </c>
      <c r="T349">
        <v>183.1</v>
      </c>
      <c r="U349">
        <v>176.2</v>
      </c>
      <c r="V349">
        <v>182.1</v>
      </c>
      <c r="W349" s="1">
        <v>171.8</v>
      </c>
      <c r="X349">
        <v>181.3</v>
      </c>
      <c r="Y349">
        <v>171.4</v>
      </c>
      <c r="Z349">
        <v>179.8</v>
      </c>
      <c r="AA349">
        <v>163</v>
      </c>
      <c r="AB349">
        <v>168.5</v>
      </c>
      <c r="AC349">
        <v>173.7</v>
      </c>
      <c r="AD349">
        <v>173.6</v>
      </c>
      <c r="AE349">
        <v>171.1</v>
      </c>
      <c r="AF349">
        <v>176.5</v>
      </c>
      <c r="AG349" s="2">
        <f>AVERAGE(All_India_Index_Upto_April23[[#This Row],[Food]:[General index]])</f>
        <v>259.26785714285717</v>
      </c>
      <c r="AH349" s="7">
        <f>DATE(All_India_Index_Upto_April23[[#This Row],[Year]],MONTH(1&amp;TRIM(All_India_Index_Upto_April23[[#This Row],[Month]])),1)</f>
        <v>44866</v>
      </c>
    </row>
    <row r="350" spans="1:34" x14ac:dyDescent="0.3">
      <c r="A350">
        <v>349</v>
      </c>
      <c r="B350" s="1" t="s">
        <v>18</v>
      </c>
      <c r="C350">
        <v>2022</v>
      </c>
      <c r="D350" s="1" t="s">
        <v>46</v>
      </c>
      <c r="E350" s="2">
        <v>2473</v>
      </c>
      <c r="F350">
        <v>168.8</v>
      </c>
      <c r="G350">
        <v>206.9</v>
      </c>
      <c r="H350">
        <v>189.1</v>
      </c>
      <c r="I350">
        <v>173.4</v>
      </c>
      <c r="J350">
        <v>193.9</v>
      </c>
      <c r="K350">
        <v>156.69999999999999</v>
      </c>
      <c r="L350">
        <v>150.19999999999999</v>
      </c>
      <c r="M350">
        <v>170.5</v>
      </c>
      <c r="N350">
        <v>121.2</v>
      </c>
      <c r="O350">
        <v>207.5</v>
      </c>
      <c r="P350">
        <v>176.8</v>
      </c>
      <c r="Q350">
        <v>187.7</v>
      </c>
      <c r="R350">
        <v>174.4</v>
      </c>
      <c r="S350">
        <v>195.9</v>
      </c>
      <c r="T350">
        <v>188.1</v>
      </c>
      <c r="U350">
        <v>185.9</v>
      </c>
      <c r="V350">
        <v>187.8</v>
      </c>
      <c r="W350" s="1">
        <v>139.12</v>
      </c>
      <c r="X350">
        <v>182.8</v>
      </c>
      <c r="Y350">
        <v>176.4</v>
      </c>
      <c r="Z350">
        <v>183.5</v>
      </c>
      <c r="AA350">
        <v>167.8</v>
      </c>
      <c r="AB350">
        <v>171.2</v>
      </c>
      <c r="AC350">
        <v>177.3</v>
      </c>
      <c r="AD350">
        <v>175.7</v>
      </c>
      <c r="AE350">
        <v>175.5</v>
      </c>
      <c r="AF350">
        <v>177.1</v>
      </c>
      <c r="AG350" s="2">
        <f>AVERAGE(All_India_Index_Upto_April23[[#This Row],[Food]:[General index]])</f>
        <v>258.36499999999995</v>
      </c>
      <c r="AH350" s="7">
        <f>DATE(All_India_Index_Upto_April23[[#This Row],[Year]],MONTH(1&amp;TRIM(All_India_Index_Upto_April23[[#This Row],[Month]])),1)</f>
        <v>44896</v>
      </c>
    </row>
    <row r="351" spans="1:34" x14ac:dyDescent="0.3">
      <c r="A351">
        <v>350</v>
      </c>
      <c r="B351" s="1" t="s">
        <v>33</v>
      </c>
      <c r="C351">
        <v>2022</v>
      </c>
      <c r="D351" s="1" t="s">
        <v>46</v>
      </c>
      <c r="E351" s="2">
        <v>2496.8999999999996</v>
      </c>
      <c r="F351">
        <v>170.2</v>
      </c>
      <c r="G351">
        <v>212.9</v>
      </c>
      <c r="H351">
        <v>191.9</v>
      </c>
      <c r="I351">
        <v>173.9</v>
      </c>
      <c r="J351">
        <v>179.1</v>
      </c>
      <c r="K351">
        <v>159.5</v>
      </c>
      <c r="L351">
        <v>178.7</v>
      </c>
      <c r="M351">
        <v>171.3</v>
      </c>
      <c r="N351">
        <v>123.1</v>
      </c>
      <c r="O351">
        <v>200.5</v>
      </c>
      <c r="P351">
        <v>162.80000000000001</v>
      </c>
      <c r="Q351">
        <v>193.3</v>
      </c>
      <c r="R351">
        <v>178.6</v>
      </c>
      <c r="S351">
        <v>201.1</v>
      </c>
      <c r="T351">
        <v>177.7</v>
      </c>
      <c r="U351">
        <v>164.5</v>
      </c>
      <c r="V351">
        <v>175.7</v>
      </c>
      <c r="W351" s="1">
        <v>170.7</v>
      </c>
      <c r="X351">
        <v>180.6</v>
      </c>
      <c r="Y351">
        <v>167.3</v>
      </c>
      <c r="Z351">
        <v>177.2</v>
      </c>
      <c r="AA351">
        <v>159.4</v>
      </c>
      <c r="AB351">
        <v>167.1</v>
      </c>
      <c r="AC351">
        <v>171.8</v>
      </c>
      <c r="AD351">
        <v>176</v>
      </c>
      <c r="AE351">
        <v>168.2</v>
      </c>
      <c r="AF351">
        <v>174.1</v>
      </c>
      <c r="AG351" s="2">
        <f>AVERAGE(All_India_Index_Upto_April23[[#This Row],[Food]:[General index]])</f>
        <v>258.00357142857149</v>
      </c>
      <c r="AH351" s="7">
        <f>DATE(All_India_Index_Upto_April23[[#This Row],[Year]],MONTH(1&amp;TRIM(All_India_Index_Upto_April23[[#This Row],[Month]])),1)</f>
        <v>44896</v>
      </c>
    </row>
    <row r="352" spans="1:34" x14ac:dyDescent="0.3">
      <c r="A352">
        <v>351</v>
      </c>
      <c r="B352" s="1" t="s">
        <v>34</v>
      </c>
      <c r="C352">
        <v>2022</v>
      </c>
      <c r="D352" s="1" t="s">
        <v>46</v>
      </c>
      <c r="E352" s="2">
        <v>2480.7000000000003</v>
      </c>
      <c r="F352">
        <v>169.2</v>
      </c>
      <c r="G352">
        <v>209</v>
      </c>
      <c r="H352">
        <v>190.2</v>
      </c>
      <c r="I352">
        <v>173.6</v>
      </c>
      <c r="J352">
        <v>188.5</v>
      </c>
      <c r="K352">
        <v>158</v>
      </c>
      <c r="L352">
        <v>159.9</v>
      </c>
      <c r="M352">
        <v>170.8</v>
      </c>
      <c r="N352">
        <v>121.8</v>
      </c>
      <c r="O352">
        <v>205.2</v>
      </c>
      <c r="P352">
        <v>171</v>
      </c>
      <c r="Q352">
        <v>190.3</v>
      </c>
      <c r="R352">
        <v>175.9</v>
      </c>
      <c r="S352">
        <v>197.3</v>
      </c>
      <c r="T352">
        <v>184</v>
      </c>
      <c r="U352">
        <v>177</v>
      </c>
      <c r="V352">
        <v>183</v>
      </c>
      <c r="W352" s="1">
        <v>170.7</v>
      </c>
      <c r="X352">
        <v>182</v>
      </c>
      <c r="Y352">
        <v>172.1</v>
      </c>
      <c r="Z352">
        <v>181.1</v>
      </c>
      <c r="AA352">
        <v>163.4</v>
      </c>
      <c r="AB352">
        <v>168.9</v>
      </c>
      <c r="AC352">
        <v>174.1</v>
      </c>
      <c r="AD352">
        <v>175.8</v>
      </c>
      <c r="AE352">
        <v>172</v>
      </c>
      <c r="AF352">
        <v>175.7</v>
      </c>
      <c r="AG352" s="2">
        <f>AVERAGE(All_India_Index_Upto_April23[[#This Row],[Food]:[General index]])</f>
        <v>258.61428571428576</v>
      </c>
      <c r="AH352" s="7">
        <f>DATE(All_India_Index_Upto_April23[[#This Row],[Year]],MONTH(1&amp;TRIM(All_India_Index_Upto_April23[[#This Row],[Month]])),1)</f>
        <v>44896</v>
      </c>
    </row>
    <row r="353" spans="1:34" x14ac:dyDescent="0.3">
      <c r="A353">
        <v>352</v>
      </c>
      <c r="B353" s="1" t="s">
        <v>18</v>
      </c>
      <c r="C353">
        <v>2023</v>
      </c>
      <c r="D353" s="1" t="s">
        <v>19</v>
      </c>
      <c r="E353" s="2">
        <v>2480.1000000000004</v>
      </c>
      <c r="F353">
        <v>174</v>
      </c>
      <c r="G353">
        <v>208.3</v>
      </c>
      <c r="H353">
        <v>192.9</v>
      </c>
      <c r="I353">
        <v>174.3</v>
      </c>
      <c r="J353">
        <v>192.6</v>
      </c>
      <c r="K353">
        <v>156.30000000000001</v>
      </c>
      <c r="L353">
        <v>142.9</v>
      </c>
      <c r="M353">
        <v>170.7</v>
      </c>
      <c r="N353">
        <v>120.3</v>
      </c>
      <c r="O353">
        <v>210.5</v>
      </c>
      <c r="P353">
        <v>176.9</v>
      </c>
      <c r="Q353">
        <v>188.5</v>
      </c>
      <c r="R353">
        <v>175</v>
      </c>
      <c r="S353">
        <v>196.9</v>
      </c>
      <c r="T353">
        <v>189</v>
      </c>
      <c r="U353">
        <v>186.3</v>
      </c>
      <c r="V353">
        <v>188.6</v>
      </c>
      <c r="W353" s="1">
        <v>139.12</v>
      </c>
      <c r="X353">
        <v>183.2</v>
      </c>
      <c r="Y353">
        <v>177.2</v>
      </c>
      <c r="Z353">
        <v>184.7</v>
      </c>
      <c r="AA353">
        <v>168.2</v>
      </c>
      <c r="AB353">
        <v>171.8</v>
      </c>
      <c r="AC353">
        <v>177.8</v>
      </c>
      <c r="AD353">
        <v>178.4</v>
      </c>
      <c r="AE353">
        <v>176.5</v>
      </c>
      <c r="AF353">
        <v>177.8</v>
      </c>
      <c r="AG353" s="2">
        <f>AVERAGE(All_India_Index_Upto_April23[[#This Row],[Food]:[General index]])</f>
        <v>259.24357142857144</v>
      </c>
      <c r="AH353" s="7">
        <f>DATE(All_India_Index_Upto_April23[[#This Row],[Year]],MONTH(1&amp;TRIM(All_India_Index_Upto_April23[[#This Row],[Month]])),1)</f>
        <v>44927</v>
      </c>
    </row>
    <row r="354" spans="1:34" x14ac:dyDescent="0.3">
      <c r="A354">
        <v>353</v>
      </c>
      <c r="B354" s="1" t="s">
        <v>33</v>
      </c>
      <c r="C354">
        <v>2023</v>
      </c>
      <c r="D354" s="1" t="s">
        <v>19</v>
      </c>
      <c r="E354" s="2">
        <v>2511.8000000000002</v>
      </c>
      <c r="F354">
        <v>173.3</v>
      </c>
      <c r="G354">
        <v>215.2</v>
      </c>
      <c r="H354">
        <v>197</v>
      </c>
      <c r="I354">
        <v>175.2</v>
      </c>
      <c r="J354">
        <v>178</v>
      </c>
      <c r="K354">
        <v>160.5</v>
      </c>
      <c r="L354">
        <v>175.3</v>
      </c>
      <c r="M354">
        <v>171.2</v>
      </c>
      <c r="N354">
        <v>122.7</v>
      </c>
      <c r="O354">
        <v>204.3</v>
      </c>
      <c r="P354">
        <v>163.69999999999999</v>
      </c>
      <c r="Q354">
        <v>194.3</v>
      </c>
      <c r="R354">
        <v>179.5</v>
      </c>
      <c r="S354">
        <v>201.6</v>
      </c>
      <c r="T354">
        <v>178.7</v>
      </c>
      <c r="U354">
        <v>165.3</v>
      </c>
      <c r="V354">
        <v>176.6</v>
      </c>
      <c r="W354" s="1">
        <v>172.1</v>
      </c>
      <c r="X354">
        <v>180.1</v>
      </c>
      <c r="Y354">
        <v>168</v>
      </c>
      <c r="Z354">
        <v>178.5</v>
      </c>
      <c r="AA354">
        <v>159.5</v>
      </c>
      <c r="AB354">
        <v>167.8</v>
      </c>
      <c r="AC354">
        <v>171.8</v>
      </c>
      <c r="AD354">
        <v>178.8</v>
      </c>
      <c r="AE354">
        <v>168.9</v>
      </c>
      <c r="AF354">
        <v>174.9</v>
      </c>
      <c r="AG354" s="2">
        <f>AVERAGE(All_India_Index_Upto_April23[[#This Row],[Food]:[General index]])</f>
        <v>259.45000000000005</v>
      </c>
      <c r="AH354" s="7">
        <f>DATE(All_India_Index_Upto_April23[[#This Row],[Year]],MONTH(1&amp;TRIM(All_India_Index_Upto_April23[[#This Row],[Month]])),1)</f>
        <v>44927</v>
      </c>
    </row>
    <row r="355" spans="1:34" x14ac:dyDescent="0.3">
      <c r="A355">
        <v>354</v>
      </c>
      <c r="B355" s="1" t="s">
        <v>34</v>
      </c>
      <c r="C355">
        <v>2023</v>
      </c>
      <c r="D355" s="1" t="s">
        <v>19</v>
      </c>
      <c r="E355" s="2">
        <v>2490.8999999999996</v>
      </c>
      <c r="F355">
        <v>173.8</v>
      </c>
      <c r="G355">
        <v>210.7</v>
      </c>
      <c r="H355">
        <v>194.5</v>
      </c>
      <c r="I355">
        <v>174.6</v>
      </c>
      <c r="J355">
        <v>187.2</v>
      </c>
      <c r="K355">
        <v>158.30000000000001</v>
      </c>
      <c r="L355">
        <v>153.9</v>
      </c>
      <c r="M355">
        <v>170.9</v>
      </c>
      <c r="N355">
        <v>121.1</v>
      </c>
      <c r="O355">
        <v>208.4</v>
      </c>
      <c r="P355">
        <v>171.4</v>
      </c>
      <c r="Q355">
        <v>191.2</v>
      </c>
      <c r="R355">
        <v>176.7</v>
      </c>
      <c r="S355">
        <v>198.2</v>
      </c>
      <c r="T355">
        <v>184.9</v>
      </c>
      <c r="U355">
        <v>177.6</v>
      </c>
      <c r="V355">
        <v>183.8</v>
      </c>
      <c r="W355" s="1">
        <v>172.1</v>
      </c>
      <c r="X355">
        <v>182</v>
      </c>
      <c r="Y355">
        <v>172.9</v>
      </c>
      <c r="Z355">
        <v>182.3</v>
      </c>
      <c r="AA355">
        <v>163.6</v>
      </c>
      <c r="AB355">
        <v>169.5</v>
      </c>
      <c r="AC355">
        <v>174.3</v>
      </c>
      <c r="AD355">
        <v>178.6</v>
      </c>
      <c r="AE355">
        <v>172.8</v>
      </c>
      <c r="AF355">
        <v>176.5</v>
      </c>
      <c r="AG355" s="2">
        <f>AVERAGE(All_India_Index_Upto_April23[[#This Row],[Food]:[General index]])</f>
        <v>259.7392857142857</v>
      </c>
      <c r="AH355" s="7">
        <f>DATE(All_India_Index_Upto_April23[[#This Row],[Year]],MONTH(1&amp;TRIM(All_India_Index_Upto_April23[[#This Row],[Month]])),1)</f>
        <v>44927</v>
      </c>
    </row>
    <row r="356" spans="1:34" x14ac:dyDescent="0.3">
      <c r="A356">
        <v>355</v>
      </c>
      <c r="B356" s="1" t="s">
        <v>18</v>
      </c>
      <c r="C356">
        <v>2023</v>
      </c>
      <c r="D356" s="1" t="s">
        <v>35</v>
      </c>
      <c r="E356" s="2">
        <v>2464</v>
      </c>
      <c r="F356">
        <v>174.2</v>
      </c>
      <c r="G356">
        <v>205.2</v>
      </c>
      <c r="H356">
        <v>173.9</v>
      </c>
      <c r="I356">
        <v>177</v>
      </c>
      <c r="J356">
        <v>183.4</v>
      </c>
      <c r="K356">
        <v>167.2</v>
      </c>
      <c r="L356">
        <v>140.9</v>
      </c>
      <c r="M356">
        <v>170.4</v>
      </c>
      <c r="N356">
        <v>119.1</v>
      </c>
      <c r="O356">
        <v>212.1</v>
      </c>
      <c r="P356">
        <v>177.6</v>
      </c>
      <c r="Q356">
        <v>189.9</v>
      </c>
      <c r="R356">
        <v>174.8</v>
      </c>
      <c r="S356">
        <v>198.3</v>
      </c>
      <c r="T356">
        <v>190</v>
      </c>
      <c r="U356">
        <v>187</v>
      </c>
      <c r="V356">
        <v>189.6</v>
      </c>
      <c r="W356" s="1">
        <v>139.12</v>
      </c>
      <c r="X356">
        <v>181.6</v>
      </c>
      <c r="Y356">
        <v>178.6</v>
      </c>
      <c r="Z356">
        <v>186.6</v>
      </c>
      <c r="AA356">
        <v>169</v>
      </c>
      <c r="AB356">
        <v>172.8</v>
      </c>
      <c r="AC356">
        <v>178.5</v>
      </c>
      <c r="AD356">
        <v>180.7</v>
      </c>
      <c r="AE356">
        <v>177.9</v>
      </c>
      <c r="AF356">
        <v>178</v>
      </c>
      <c r="AG356" s="2">
        <f>AVERAGE(All_India_Index_Upto_April23[[#This Row],[Food]:[General index]])</f>
        <v>258.47928571428577</v>
      </c>
      <c r="AH356" s="7">
        <f>DATE(All_India_Index_Upto_April23[[#This Row],[Year]],MONTH(1&amp;TRIM(All_India_Index_Upto_April23[[#This Row],[Month]])),1)</f>
        <v>44958</v>
      </c>
    </row>
    <row r="357" spans="1:34" x14ac:dyDescent="0.3">
      <c r="A357">
        <v>356</v>
      </c>
      <c r="B357" s="1" t="s">
        <v>33</v>
      </c>
      <c r="C357">
        <v>2023</v>
      </c>
      <c r="D357" s="1" t="s">
        <v>35</v>
      </c>
      <c r="E357" s="2">
        <v>2505.8999999999996</v>
      </c>
      <c r="F357">
        <v>174.7</v>
      </c>
      <c r="G357">
        <v>212.2</v>
      </c>
      <c r="H357">
        <v>177.2</v>
      </c>
      <c r="I357">
        <v>177.9</v>
      </c>
      <c r="J357">
        <v>172.2</v>
      </c>
      <c r="K357">
        <v>172.1</v>
      </c>
      <c r="L357">
        <v>175.8</v>
      </c>
      <c r="M357">
        <v>172.2</v>
      </c>
      <c r="N357">
        <v>121.9</v>
      </c>
      <c r="O357">
        <v>204.8</v>
      </c>
      <c r="P357">
        <v>164.9</v>
      </c>
      <c r="Q357">
        <v>196.6</v>
      </c>
      <c r="R357">
        <v>180.7</v>
      </c>
      <c r="S357">
        <v>202.7</v>
      </c>
      <c r="T357">
        <v>180.3</v>
      </c>
      <c r="U357">
        <v>167</v>
      </c>
      <c r="V357">
        <v>178.2</v>
      </c>
      <c r="W357" s="1">
        <v>173.5</v>
      </c>
      <c r="X357">
        <v>182.8</v>
      </c>
      <c r="Y357">
        <v>169.2</v>
      </c>
      <c r="Z357">
        <v>180.8</v>
      </c>
      <c r="AA357">
        <v>159.80000000000001</v>
      </c>
      <c r="AB357">
        <v>168.4</v>
      </c>
      <c r="AC357">
        <v>172.5</v>
      </c>
      <c r="AD357">
        <v>181.4</v>
      </c>
      <c r="AE357">
        <v>170</v>
      </c>
      <c r="AF357">
        <v>176.3</v>
      </c>
      <c r="AG357" s="2">
        <f>AVERAGE(All_India_Index_Upto_April23[[#This Row],[Food]:[General index]])</f>
        <v>259.71428571428567</v>
      </c>
      <c r="AH357" s="7">
        <f>DATE(All_India_Index_Upto_April23[[#This Row],[Year]],MONTH(1&amp;TRIM(All_India_Index_Upto_April23[[#This Row],[Month]])),1)</f>
        <v>44958</v>
      </c>
    </row>
    <row r="358" spans="1:34" x14ac:dyDescent="0.3">
      <c r="A358">
        <v>357</v>
      </c>
      <c r="B358" s="1" t="s">
        <v>34</v>
      </c>
      <c r="C358">
        <v>2023</v>
      </c>
      <c r="D358" s="1" t="s">
        <v>35</v>
      </c>
      <c r="E358" s="2">
        <v>2478.6</v>
      </c>
      <c r="F358">
        <v>174.4</v>
      </c>
      <c r="G358">
        <v>207.7</v>
      </c>
      <c r="H358">
        <v>175.2</v>
      </c>
      <c r="I358">
        <v>177.3</v>
      </c>
      <c r="J358">
        <v>179.3</v>
      </c>
      <c r="K358">
        <v>169.5</v>
      </c>
      <c r="L358">
        <v>152.69999999999999</v>
      </c>
      <c r="M358">
        <v>171</v>
      </c>
      <c r="N358">
        <v>120</v>
      </c>
      <c r="O358">
        <v>209.7</v>
      </c>
      <c r="P358">
        <v>172.3</v>
      </c>
      <c r="Q358">
        <v>193</v>
      </c>
      <c r="R358">
        <v>177</v>
      </c>
      <c r="S358">
        <v>199.5</v>
      </c>
      <c r="T358">
        <v>186.2</v>
      </c>
      <c r="U358">
        <v>178.7</v>
      </c>
      <c r="V358">
        <v>185.1</v>
      </c>
      <c r="W358" s="1">
        <v>173.5</v>
      </c>
      <c r="X358">
        <v>182.1</v>
      </c>
      <c r="Y358">
        <v>174.2</v>
      </c>
      <c r="Z358">
        <v>184.4</v>
      </c>
      <c r="AA358">
        <v>164.2</v>
      </c>
      <c r="AB358">
        <v>170.3</v>
      </c>
      <c r="AC358">
        <v>175</v>
      </c>
      <c r="AD358">
        <v>181</v>
      </c>
      <c r="AE358">
        <v>174.1</v>
      </c>
      <c r="AF358">
        <v>177.2</v>
      </c>
      <c r="AG358" s="2">
        <f>AVERAGE(All_India_Index_Upto_April23[[#This Row],[Food]:[General index]])</f>
        <v>259.39999999999998</v>
      </c>
      <c r="AH358" s="7">
        <f>DATE(All_India_Index_Upto_April23[[#This Row],[Year]],MONTH(1&amp;TRIM(All_India_Index_Upto_April23[[#This Row],[Month]])),1)</f>
        <v>44958</v>
      </c>
    </row>
    <row r="359" spans="1:34" x14ac:dyDescent="0.3">
      <c r="A359">
        <v>358</v>
      </c>
      <c r="B359" s="1" t="s">
        <v>18</v>
      </c>
      <c r="C359">
        <v>2023</v>
      </c>
      <c r="D359" s="1" t="s">
        <v>36</v>
      </c>
      <c r="E359" s="2">
        <v>2464.2000000000003</v>
      </c>
      <c r="F359">
        <v>174.3</v>
      </c>
      <c r="G359">
        <v>205.2</v>
      </c>
      <c r="H359">
        <v>173.9</v>
      </c>
      <c r="I359">
        <v>177</v>
      </c>
      <c r="J359">
        <v>183.3</v>
      </c>
      <c r="K359">
        <v>167.2</v>
      </c>
      <c r="L359">
        <v>140.9</v>
      </c>
      <c r="M359">
        <v>170.5</v>
      </c>
      <c r="N359">
        <v>119.1</v>
      </c>
      <c r="O359">
        <v>212.1</v>
      </c>
      <c r="P359">
        <v>177.6</v>
      </c>
      <c r="Q359">
        <v>189.9</v>
      </c>
      <c r="R359">
        <v>174.8</v>
      </c>
      <c r="S359">
        <v>198.4</v>
      </c>
      <c r="T359">
        <v>190</v>
      </c>
      <c r="U359">
        <v>187</v>
      </c>
      <c r="V359">
        <v>189.6</v>
      </c>
      <c r="W359" s="1">
        <v>139.12</v>
      </c>
      <c r="X359">
        <v>181.4</v>
      </c>
      <c r="Y359">
        <v>178.6</v>
      </c>
      <c r="Z359">
        <v>186.6</v>
      </c>
      <c r="AA359">
        <v>169</v>
      </c>
      <c r="AB359">
        <v>172.8</v>
      </c>
      <c r="AC359">
        <v>178.5</v>
      </c>
      <c r="AD359">
        <v>180.7</v>
      </c>
      <c r="AE359">
        <v>177.9</v>
      </c>
      <c r="AF359">
        <v>178</v>
      </c>
      <c r="AG359" s="2">
        <f>AVERAGE(All_India_Index_Upto_April23[[#This Row],[Food]:[General index]])</f>
        <v>258.48642857142858</v>
      </c>
      <c r="AH359" s="7">
        <f>DATE(All_India_Index_Upto_April23[[#This Row],[Year]],MONTH(1&amp;TRIM(All_India_Index_Upto_April23[[#This Row],[Month]])),1)</f>
        <v>44986</v>
      </c>
    </row>
    <row r="360" spans="1:34" x14ac:dyDescent="0.3">
      <c r="A360">
        <v>359</v>
      </c>
      <c r="B360" s="1" t="s">
        <v>33</v>
      </c>
      <c r="C360">
        <v>2023</v>
      </c>
      <c r="D360" s="1" t="s">
        <v>36</v>
      </c>
      <c r="E360" s="2">
        <v>2506.1</v>
      </c>
      <c r="F360">
        <v>174.7</v>
      </c>
      <c r="G360">
        <v>212.2</v>
      </c>
      <c r="H360">
        <v>177.2</v>
      </c>
      <c r="I360">
        <v>177.9</v>
      </c>
      <c r="J360">
        <v>172.2</v>
      </c>
      <c r="K360">
        <v>172.1</v>
      </c>
      <c r="L360">
        <v>175.9</v>
      </c>
      <c r="M360">
        <v>172.2</v>
      </c>
      <c r="N360">
        <v>121.9</v>
      </c>
      <c r="O360">
        <v>204.8</v>
      </c>
      <c r="P360">
        <v>164.9</v>
      </c>
      <c r="Q360">
        <v>196.6</v>
      </c>
      <c r="R360">
        <v>180.8</v>
      </c>
      <c r="S360">
        <v>202.7</v>
      </c>
      <c r="T360">
        <v>180.2</v>
      </c>
      <c r="U360">
        <v>167</v>
      </c>
      <c r="V360">
        <v>178.2</v>
      </c>
      <c r="W360" s="1">
        <v>173.5</v>
      </c>
      <c r="X360">
        <v>182.6</v>
      </c>
      <c r="Y360">
        <v>169.2</v>
      </c>
      <c r="Z360">
        <v>180.8</v>
      </c>
      <c r="AA360">
        <v>159.80000000000001</v>
      </c>
      <c r="AB360">
        <v>168.4</v>
      </c>
      <c r="AC360">
        <v>172.5</v>
      </c>
      <c r="AD360">
        <v>181.5</v>
      </c>
      <c r="AE360">
        <v>170</v>
      </c>
      <c r="AF360">
        <v>176.3</v>
      </c>
      <c r="AG360" s="2">
        <f>AVERAGE(All_India_Index_Upto_April23[[#This Row],[Food]:[General index]])</f>
        <v>259.72142857142853</v>
      </c>
      <c r="AH360" s="7">
        <f>DATE(All_India_Index_Upto_April23[[#This Row],[Year]],MONTH(1&amp;TRIM(All_India_Index_Upto_April23[[#This Row],[Month]])),1)</f>
        <v>44986</v>
      </c>
    </row>
    <row r="361" spans="1:34" x14ac:dyDescent="0.3">
      <c r="A361">
        <v>360</v>
      </c>
      <c r="B361" s="1" t="s">
        <v>34</v>
      </c>
      <c r="C361">
        <v>2023</v>
      </c>
      <c r="D361" s="1" t="s">
        <v>36</v>
      </c>
      <c r="E361" s="2">
        <v>2478.6999999999998</v>
      </c>
      <c r="F361">
        <v>174.4</v>
      </c>
      <c r="G361">
        <v>207.7</v>
      </c>
      <c r="H361">
        <v>175.2</v>
      </c>
      <c r="I361">
        <v>177.3</v>
      </c>
      <c r="J361">
        <v>179.2</v>
      </c>
      <c r="K361">
        <v>169.5</v>
      </c>
      <c r="L361">
        <v>152.80000000000001</v>
      </c>
      <c r="M361">
        <v>171.1</v>
      </c>
      <c r="N361">
        <v>120</v>
      </c>
      <c r="O361">
        <v>209.7</v>
      </c>
      <c r="P361">
        <v>172.3</v>
      </c>
      <c r="Q361">
        <v>193</v>
      </c>
      <c r="R361">
        <v>177</v>
      </c>
      <c r="S361">
        <v>199.5</v>
      </c>
      <c r="T361">
        <v>186.1</v>
      </c>
      <c r="U361">
        <v>178.7</v>
      </c>
      <c r="V361">
        <v>185.1</v>
      </c>
      <c r="W361" s="1">
        <v>173.5</v>
      </c>
      <c r="X361">
        <v>181.9</v>
      </c>
      <c r="Y361">
        <v>174.2</v>
      </c>
      <c r="Z361">
        <v>184.4</v>
      </c>
      <c r="AA361">
        <v>164.2</v>
      </c>
      <c r="AB361">
        <v>170.3</v>
      </c>
      <c r="AC361">
        <v>175</v>
      </c>
      <c r="AD361">
        <v>181</v>
      </c>
      <c r="AE361">
        <v>174.1</v>
      </c>
      <c r="AF361">
        <v>177.2</v>
      </c>
      <c r="AG361" s="2">
        <f>AVERAGE(All_India_Index_Upto_April23[[#This Row],[Food]:[General index]])</f>
        <v>259.39642857142854</v>
      </c>
      <c r="AH361" s="7">
        <f>DATE(All_India_Index_Upto_April23[[#This Row],[Year]],MONTH(1&amp;TRIM(All_India_Index_Upto_April23[[#This Row],[Month]])),1)</f>
        <v>44986</v>
      </c>
    </row>
    <row r="362" spans="1:34" x14ac:dyDescent="0.3">
      <c r="A362">
        <v>361</v>
      </c>
      <c r="B362" s="1" t="s">
        <v>18</v>
      </c>
      <c r="C362">
        <v>2023</v>
      </c>
      <c r="D362" s="1" t="s">
        <v>37</v>
      </c>
      <c r="E362" s="2">
        <v>2473.6999999999998</v>
      </c>
      <c r="F362">
        <v>173.3</v>
      </c>
      <c r="G362">
        <v>206.9</v>
      </c>
      <c r="H362">
        <v>167.9</v>
      </c>
      <c r="I362">
        <v>178.2</v>
      </c>
      <c r="J362">
        <v>178.5</v>
      </c>
      <c r="K362">
        <v>173.7</v>
      </c>
      <c r="L362">
        <v>142.80000000000001</v>
      </c>
      <c r="M362">
        <v>172.8</v>
      </c>
      <c r="N362">
        <v>120.4</v>
      </c>
      <c r="O362">
        <v>215.5</v>
      </c>
      <c r="P362">
        <v>178.2</v>
      </c>
      <c r="Q362">
        <v>190.5</v>
      </c>
      <c r="R362">
        <v>175.5</v>
      </c>
      <c r="S362">
        <v>199.5</v>
      </c>
      <c r="T362">
        <v>190.7</v>
      </c>
      <c r="U362">
        <v>187.3</v>
      </c>
      <c r="V362">
        <v>190.2</v>
      </c>
      <c r="W362" s="1">
        <v>139.12</v>
      </c>
      <c r="X362">
        <v>181.5</v>
      </c>
      <c r="Y362">
        <v>179.1</v>
      </c>
      <c r="Z362">
        <v>187.2</v>
      </c>
      <c r="AA362">
        <v>169.4</v>
      </c>
      <c r="AB362">
        <v>173.2</v>
      </c>
      <c r="AC362">
        <v>179.4</v>
      </c>
      <c r="AD362">
        <v>183.8</v>
      </c>
      <c r="AE362">
        <v>178.9</v>
      </c>
      <c r="AF362">
        <v>178.8</v>
      </c>
      <c r="AG362" s="2">
        <f>AVERAGE(All_India_Index_Upto_April23[[#This Row],[Food]:[General index]])</f>
        <v>259.50071428571425</v>
      </c>
      <c r="AH362" s="7">
        <f>DATE(All_India_Index_Upto_April23[[#This Row],[Year]],MONTH(1&amp;TRIM(All_India_Index_Upto_April23[[#This Row],[Month]])),1)</f>
        <v>45017</v>
      </c>
    </row>
    <row r="363" spans="1:34" x14ac:dyDescent="0.3">
      <c r="A363">
        <v>362</v>
      </c>
      <c r="B363" s="1" t="s">
        <v>33</v>
      </c>
      <c r="C363">
        <v>2023</v>
      </c>
      <c r="D363" s="1" t="s">
        <v>37</v>
      </c>
      <c r="E363" s="2">
        <v>2521.2000000000003</v>
      </c>
      <c r="F363">
        <v>174.8</v>
      </c>
      <c r="G363">
        <v>213.7</v>
      </c>
      <c r="H363">
        <v>172.4</v>
      </c>
      <c r="I363">
        <v>178.8</v>
      </c>
      <c r="J363">
        <v>168.7</v>
      </c>
      <c r="K363">
        <v>179.2</v>
      </c>
      <c r="L363">
        <v>179.9</v>
      </c>
      <c r="M363">
        <v>174.7</v>
      </c>
      <c r="N363">
        <v>123.1</v>
      </c>
      <c r="O363">
        <v>207.8</v>
      </c>
      <c r="P363">
        <v>165.5</v>
      </c>
      <c r="Q363">
        <v>197</v>
      </c>
      <c r="R363">
        <v>182.1</v>
      </c>
      <c r="S363">
        <v>203.5</v>
      </c>
      <c r="T363">
        <v>181</v>
      </c>
      <c r="U363">
        <v>167.7</v>
      </c>
      <c r="V363">
        <v>178.9</v>
      </c>
      <c r="W363" s="1">
        <v>175.2</v>
      </c>
      <c r="X363">
        <v>182.1</v>
      </c>
      <c r="Y363">
        <v>169.6</v>
      </c>
      <c r="Z363">
        <v>181.5</v>
      </c>
      <c r="AA363">
        <v>160.1</v>
      </c>
      <c r="AB363">
        <v>168.8</v>
      </c>
      <c r="AC363">
        <v>174.2</v>
      </c>
      <c r="AD363">
        <v>184.4</v>
      </c>
      <c r="AE363">
        <v>170.9</v>
      </c>
      <c r="AF363">
        <v>177.4</v>
      </c>
      <c r="AG363" s="2">
        <f>AVERAGE(All_India_Index_Upto_April23[[#This Row],[Food]:[General index]])</f>
        <v>261.22142857142859</v>
      </c>
      <c r="AH363" s="7">
        <f>DATE(All_India_Index_Upto_April23[[#This Row],[Year]],MONTH(1&amp;TRIM(All_India_Index_Upto_April23[[#This Row],[Month]])),1)</f>
        <v>45017</v>
      </c>
    </row>
    <row r="364" spans="1:34" x14ac:dyDescent="0.3">
      <c r="A364">
        <v>363</v>
      </c>
      <c r="B364" s="1" t="s">
        <v>34</v>
      </c>
      <c r="C364">
        <v>2023</v>
      </c>
      <c r="D364" s="1" t="s">
        <v>37</v>
      </c>
      <c r="E364" s="2">
        <v>2490.2000000000003</v>
      </c>
      <c r="F364">
        <v>173.8</v>
      </c>
      <c r="G364">
        <v>209.3</v>
      </c>
      <c r="H364">
        <v>169.6</v>
      </c>
      <c r="I364">
        <v>178.4</v>
      </c>
      <c r="J364">
        <v>174.9</v>
      </c>
      <c r="K364">
        <v>176.3</v>
      </c>
      <c r="L364">
        <v>155.4</v>
      </c>
      <c r="M364">
        <v>173.4</v>
      </c>
      <c r="N364">
        <v>121.3</v>
      </c>
      <c r="O364">
        <v>212.9</v>
      </c>
      <c r="P364">
        <v>172.9</v>
      </c>
      <c r="Q364">
        <v>193.5</v>
      </c>
      <c r="R364">
        <v>177.9</v>
      </c>
      <c r="S364">
        <v>200.6</v>
      </c>
      <c r="T364">
        <v>186.9</v>
      </c>
      <c r="U364">
        <v>179.2</v>
      </c>
      <c r="V364">
        <v>185.7</v>
      </c>
      <c r="W364" s="1">
        <v>175.2</v>
      </c>
      <c r="X364">
        <v>181.7</v>
      </c>
      <c r="Y364">
        <v>174.6</v>
      </c>
      <c r="Z364">
        <v>185</v>
      </c>
      <c r="AA364">
        <v>164.5</v>
      </c>
      <c r="AB364">
        <v>170.7</v>
      </c>
      <c r="AC364">
        <v>176.4</v>
      </c>
      <c r="AD364">
        <v>184</v>
      </c>
      <c r="AE364">
        <v>175</v>
      </c>
      <c r="AF364">
        <v>178.1</v>
      </c>
      <c r="AG364" s="2">
        <f>AVERAGE(All_India_Index_Upto_April23[[#This Row],[Food]:[General index]])</f>
        <v>260.62142857142857</v>
      </c>
      <c r="AH364" s="7">
        <f>DATE(All_India_Index_Upto_April23[[#This Row],[Year]],MONTH(1&amp;TRIM(All_India_Index_Upto_April23[[#This Row],[Month]])),1)</f>
        <v>45017</v>
      </c>
    </row>
    <row r="365" spans="1:34" x14ac:dyDescent="0.3">
      <c r="A365">
        <v>364</v>
      </c>
      <c r="B365" s="1" t="s">
        <v>18</v>
      </c>
      <c r="C365">
        <v>2023</v>
      </c>
      <c r="D365" s="1" t="s">
        <v>38</v>
      </c>
      <c r="E365" s="2">
        <v>2490.6000000000008</v>
      </c>
      <c r="F365">
        <v>173.2</v>
      </c>
      <c r="G365">
        <v>211.5</v>
      </c>
      <c r="H365">
        <v>171</v>
      </c>
      <c r="I365">
        <v>179.6</v>
      </c>
      <c r="J365">
        <v>173.3</v>
      </c>
      <c r="K365">
        <v>169</v>
      </c>
      <c r="L365">
        <v>148.69999999999999</v>
      </c>
      <c r="M365">
        <v>174.9</v>
      </c>
      <c r="N365">
        <v>121.9</v>
      </c>
      <c r="O365">
        <v>221</v>
      </c>
      <c r="P365">
        <v>178.7</v>
      </c>
      <c r="Q365">
        <v>191.1</v>
      </c>
      <c r="R365">
        <v>176.8</v>
      </c>
      <c r="S365">
        <v>199.9</v>
      </c>
      <c r="T365">
        <v>191.2</v>
      </c>
      <c r="U365">
        <v>187.9</v>
      </c>
      <c r="V365">
        <v>190.8</v>
      </c>
      <c r="W365" s="1">
        <v>139.12</v>
      </c>
      <c r="X365">
        <v>182.5</v>
      </c>
      <c r="Y365">
        <v>179.8</v>
      </c>
      <c r="Z365">
        <v>187.8</v>
      </c>
      <c r="AA365">
        <v>169.7</v>
      </c>
      <c r="AB365">
        <v>173.8</v>
      </c>
      <c r="AC365">
        <v>180.3</v>
      </c>
      <c r="AD365">
        <v>184.9</v>
      </c>
      <c r="AE365">
        <v>179.5</v>
      </c>
      <c r="AF365">
        <v>179.8</v>
      </c>
      <c r="AG365" s="2">
        <f>AVERAGE(All_India_Index_Upto_April23[[#This Row],[Food]:[General index]])</f>
        <v>261.01142857142861</v>
      </c>
      <c r="AH365" s="7">
        <f>DATE(All_India_Index_Upto_April23[[#This Row],[Year]],MONTH(1&amp;TRIM(All_India_Index_Upto_April23[[#This Row],[Month]])),1)</f>
        <v>45047</v>
      </c>
    </row>
    <row r="366" spans="1:34" x14ac:dyDescent="0.3">
      <c r="A366">
        <v>365</v>
      </c>
      <c r="B366" s="1" t="s">
        <v>33</v>
      </c>
      <c r="C366">
        <v>2023</v>
      </c>
      <c r="D366" s="1" t="s">
        <v>38</v>
      </c>
      <c r="E366" s="2">
        <v>2539.2999999999997</v>
      </c>
      <c r="F366">
        <v>174.7</v>
      </c>
      <c r="G366">
        <v>219.4</v>
      </c>
      <c r="H366">
        <v>176.7</v>
      </c>
      <c r="I366">
        <v>179.4</v>
      </c>
      <c r="J366">
        <v>164.4</v>
      </c>
      <c r="K366">
        <v>175.8</v>
      </c>
      <c r="L366">
        <v>185</v>
      </c>
      <c r="M366">
        <v>176.9</v>
      </c>
      <c r="N366">
        <v>124.2</v>
      </c>
      <c r="O366">
        <v>211.9</v>
      </c>
      <c r="P366">
        <v>165.9</v>
      </c>
      <c r="Q366">
        <v>197.7</v>
      </c>
      <c r="R366">
        <v>183.1</v>
      </c>
      <c r="S366">
        <v>204.2</v>
      </c>
      <c r="T366">
        <v>181.3</v>
      </c>
      <c r="U366">
        <v>168.1</v>
      </c>
      <c r="V366">
        <v>179.3</v>
      </c>
      <c r="W366" s="1">
        <v>175.6</v>
      </c>
      <c r="X366">
        <v>183.4</v>
      </c>
      <c r="Y366">
        <v>170.1</v>
      </c>
      <c r="Z366">
        <v>182.2</v>
      </c>
      <c r="AA366">
        <v>160.4</v>
      </c>
      <c r="AB366">
        <v>169.2</v>
      </c>
      <c r="AC366">
        <v>174.8</v>
      </c>
      <c r="AD366">
        <v>185.6</v>
      </c>
      <c r="AE366">
        <v>171.6</v>
      </c>
      <c r="AF366">
        <v>178.2</v>
      </c>
      <c r="AG366" s="2">
        <f>AVERAGE(All_India_Index_Upto_April23[[#This Row],[Food]:[General index]])</f>
        <v>262.8</v>
      </c>
      <c r="AH366" s="7">
        <f>DATE(All_India_Index_Upto_April23[[#This Row],[Year]],MONTH(1&amp;TRIM(All_India_Index_Upto_April23[[#This Row],[Month]])),1)</f>
        <v>45047</v>
      </c>
    </row>
    <row r="367" spans="1:34" x14ac:dyDescent="0.3">
      <c r="A367">
        <v>366</v>
      </c>
      <c r="B367" s="1" t="s">
        <v>34</v>
      </c>
      <c r="C367">
        <v>2023</v>
      </c>
      <c r="D367" s="1" t="s">
        <v>38</v>
      </c>
      <c r="E367" s="2">
        <v>2507.9</v>
      </c>
      <c r="F367">
        <v>173.7</v>
      </c>
      <c r="G367">
        <v>214.3</v>
      </c>
      <c r="H367">
        <v>173.2</v>
      </c>
      <c r="I367">
        <v>179.5</v>
      </c>
      <c r="J367">
        <v>170</v>
      </c>
      <c r="K367">
        <v>172.2</v>
      </c>
      <c r="L367">
        <v>161</v>
      </c>
      <c r="M367">
        <v>175.6</v>
      </c>
      <c r="N367">
        <v>122.7</v>
      </c>
      <c r="O367">
        <v>218</v>
      </c>
      <c r="P367">
        <v>173.4</v>
      </c>
      <c r="Q367">
        <v>194.2</v>
      </c>
      <c r="R367">
        <v>179.1</v>
      </c>
      <c r="S367">
        <v>201</v>
      </c>
      <c r="T367">
        <v>187.3</v>
      </c>
      <c r="U367">
        <v>179.7</v>
      </c>
      <c r="V367">
        <v>186.2</v>
      </c>
      <c r="W367" s="1">
        <v>175.6</v>
      </c>
      <c r="X367">
        <v>182.8</v>
      </c>
      <c r="Y367">
        <v>175.2</v>
      </c>
      <c r="Z367">
        <v>185.7</v>
      </c>
      <c r="AA367">
        <v>164.8</v>
      </c>
      <c r="AB367">
        <v>171.2</v>
      </c>
      <c r="AC367">
        <v>177.1</v>
      </c>
      <c r="AD367">
        <v>185.2</v>
      </c>
      <c r="AE367">
        <v>175.7</v>
      </c>
      <c r="AF367">
        <v>179.1</v>
      </c>
      <c r="AG367" s="2">
        <f>AVERAGE(All_India_Index_Upto_April23[[#This Row],[Food]:[General index]])</f>
        <v>262.19285714285712</v>
      </c>
      <c r="AH367" s="7">
        <f>DATE(All_India_Index_Upto_April23[[#This Row],[Year]],MONTH(1&amp;TRIM(All_India_Index_Upto_April23[[#This Row],[Month]])),1)</f>
        <v>45047</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BBA07A-2030-4034-AA5A-410D922AF0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LatestMonthBYCategoriesAvg</vt:lpstr>
      <vt:lpstr>YearByInflationRate</vt:lpstr>
      <vt:lpstr>12monthsByFoodAverage</vt:lpstr>
      <vt:lpstr>BiggestContrFoodBy12months</vt:lpstr>
      <vt:lpstr>Covid-19_pandemic</vt:lpstr>
      <vt:lpstr>Fuel VS CorrelCoeff</vt:lpstr>
      <vt:lpstr>Conclusion</vt:lpstr>
      <vt:lpstr>Crude Oil Prices</vt:lpstr>
      <vt:lpstr>All_India_Index_Upto_April23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agarwal</dc:creator>
  <cp:lastModifiedBy>mayank agarwal</cp:lastModifiedBy>
  <dcterms:created xsi:type="dcterms:W3CDTF">2026-01-17T11:55:14Z</dcterms:created>
  <dcterms:modified xsi:type="dcterms:W3CDTF">2026-06-05T09:35:11Z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rmulaDeskUniqueName">
    <vt:lpwstr>e12f6092-e8c8-41d7-be16-570dad8f32c8</vt:lpwstr>
  </property>
</Properties>
</file>